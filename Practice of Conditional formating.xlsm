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/>
  <workbookPr codeName="ThisWorkbook" defaultThemeVersion="124226"/>
  <bookViews>
    <workbookView xWindow="480" yWindow="315" windowWidth="19815" windowHeight="7395" firstSheet="1" activeTab="11"/>
  </bookViews>
  <sheets>
    <sheet name="Readymade Conditional Formating" sheetId="1" r:id="rId1"/>
    <sheet name="CF-1" sheetId="2" r:id="rId2"/>
    <sheet name="CF-2" sheetId="3" r:id="rId3"/>
    <sheet name="CF-3" sheetId="4" r:id="rId4"/>
    <sheet name="CF-4" sheetId="5" r:id="rId5"/>
    <sheet name="CF-5" sheetId="6" r:id="rId6"/>
    <sheet name="CF-6" sheetId="7" r:id="rId7"/>
    <sheet name="CF-7" sheetId="8" r:id="rId8"/>
    <sheet name="Sheet8" sheetId="9" r:id="rId9"/>
    <sheet name="Sheet1" sheetId="10" r:id="rId10"/>
    <sheet name="Sheet2" sheetId="11" r:id="rId11"/>
    <sheet name="NonNumeric" sheetId="12" r:id="rId12"/>
    <sheet name="Sheet4" sheetId="13" r:id="rId13"/>
  </sheets>
  <definedNames>
    <definedName name="_xlnm._FilterDatabase" localSheetId="4" hidden="1">'CF-4'!$A$1:$H$73</definedName>
  </definedNames>
  <calcPr calcId="144525"/>
</workbook>
</file>

<file path=xl/calcChain.xml><?xml version="1.0" encoding="utf-8"?>
<calcChain xmlns="http://schemas.openxmlformats.org/spreadsheetml/2006/main">
  <c r="I3" i="10" l="1"/>
  <c r="I4" i="10"/>
  <c r="I5" i="10"/>
  <c r="I6" i="10"/>
  <c r="I7" i="10"/>
  <c r="H2" i="11"/>
  <c r="H3" i="11"/>
  <c r="H4" i="11"/>
  <c r="H5" i="11"/>
  <c r="N10" i="8" l="1" a="1"/>
  <c r="N10" i="8" s="1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1" i="9"/>
  <c r="H8" i="8"/>
  <c r="H9" i="8"/>
  <c r="H10" i="8"/>
  <c r="H11" i="8"/>
  <c r="H7" i="8"/>
  <c r="G8" i="8"/>
  <c r="G9" i="8"/>
  <c r="G10" i="8"/>
  <c r="G11" i="8"/>
  <c r="G7" i="8"/>
  <c r="B2" i="6"/>
  <c r="A3" i="6"/>
  <c r="A4" i="6" s="1"/>
  <c r="A5" i="6" s="1"/>
  <c r="A6" i="6" s="1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B93" i="6" s="1"/>
  <c r="B92" i="6" l="1"/>
  <c r="B88" i="6"/>
  <c r="B84" i="6"/>
  <c r="B80" i="6"/>
  <c r="B76" i="6"/>
  <c r="B72" i="6"/>
  <c r="B68" i="6"/>
  <c r="B64" i="6"/>
  <c r="B60" i="6"/>
  <c r="B56" i="6"/>
  <c r="B52" i="6"/>
  <c r="B48" i="6"/>
  <c r="B44" i="6"/>
  <c r="B40" i="6"/>
  <c r="B36" i="6"/>
  <c r="B32" i="6"/>
  <c r="B28" i="6"/>
  <c r="B24" i="6"/>
  <c r="B20" i="6"/>
  <c r="B16" i="6"/>
  <c r="B12" i="6"/>
  <c r="B8" i="6"/>
  <c r="B4" i="6"/>
  <c r="B90" i="6"/>
  <c r="B86" i="6"/>
  <c r="B82" i="6"/>
  <c r="B78" i="6"/>
  <c r="B74" i="6"/>
  <c r="B70" i="6"/>
  <c r="B66" i="6"/>
  <c r="B62" i="6"/>
  <c r="B58" i="6"/>
  <c r="B54" i="6"/>
  <c r="B50" i="6"/>
  <c r="B46" i="6"/>
  <c r="B42" i="6"/>
  <c r="B38" i="6"/>
  <c r="B34" i="6"/>
  <c r="B30" i="6"/>
  <c r="B26" i="6"/>
  <c r="B22" i="6"/>
  <c r="B18" i="6"/>
  <c r="B14" i="6"/>
  <c r="B10" i="6"/>
  <c r="B6" i="6"/>
  <c r="B91" i="6"/>
  <c r="B89" i="6"/>
  <c r="B87" i="6"/>
  <c r="B85" i="6"/>
  <c r="B83" i="6"/>
  <c r="B81" i="6"/>
  <c r="B79" i="6"/>
  <c r="B77" i="6"/>
  <c r="B75" i="6"/>
  <c r="B73" i="6"/>
  <c r="B71" i="6"/>
  <c r="B69" i="6"/>
  <c r="B67" i="6"/>
  <c r="B65" i="6"/>
  <c r="B63" i="6"/>
  <c r="B61" i="6"/>
  <c r="B59" i="6"/>
  <c r="B57" i="6"/>
  <c r="B55" i="6"/>
  <c r="B53" i="6"/>
  <c r="B51" i="6"/>
  <c r="B49" i="6"/>
  <c r="B47" i="6"/>
  <c r="B45" i="6"/>
  <c r="B43" i="6"/>
  <c r="B41" i="6"/>
  <c r="B39" i="6"/>
  <c r="B37" i="6"/>
  <c r="B35" i="6"/>
  <c r="B33" i="6"/>
  <c r="B31" i="6"/>
  <c r="B29" i="6"/>
  <c r="B27" i="6"/>
  <c r="B25" i="6"/>
  <c r="B23" i="6"/>
  <c r="B21" i="6"/>
  <c r="B19" i="6"/>
  <c r="B17" i="6"/>
  <c r="B15" i="6"/>
  <c r="B13" i="6"/>
  <c r="B11" i="6"/>
  <c r="B9" i="6"/>
  <c r="B7" i="6"/>
  <c r="B5" i="6"/>
  <c r="B3" i="6"/>
  <c r="I2" i="10"/>
  <c r="N11" i="8"/>
  <c r="N12" i="8"/>
  <c r="J2" i="5"/>
  <c r="I2" i="5"/>
  <c r="H2" i="5"/>
  <c r="G2" i="5"/>
  <c r="F2" i="5"/>
  <c r="E2" i="5"/>
  <c r="D2" i="5"/>
  <c r="C2" i="5"/>
  <c r="B2" i="5"/>
  <c r="A3" i="5" l="1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J289" i="4"/>
  <c r="J290" i="4"/>
  <c r="J291" i="4"/>
  <c r="J292" i="4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1" i="4"/>
  <c r="J422" i="4"/>
  <c r="J423" i="4"/>
  <c r="J424" i="4"/>
  <c r="J425" i="4"/>
  <c r="J426" i="4"/>
  <c r="J427" i="4"/>
  <c r="J428" i="4"/>
  <c r="J429" i="4"/>
  <c r="J430" i="4"/>
  <c r="J431" i="4"/>
  <c r="J432" i="4"/>
  <c r="J433" i="4"/>
  <c r="J434" i="4"/>
  <c r="J435" i="4"/>
  <c r="J436" i="4"/>
  <c r="J437" i="4"/>
  <c r="J438" i="4"/>
  <c r="J11" i="4"/>
  <c r="I3" i="5" l="1"/>
  <c r="G3" i="5"/>
  <c r="E3" i="5"/>
  <c r="J3" i="5"/>
  <c r="H3" i="5"/>
  <c r="F3" i="5"/>
  <c r="D3" i="5"/>
  <c r="C3" i="5"/>
  <c r="B3" i="5"/>
  <c r="A4" i="5"/>
  <c r="J4" i="5" l="1"/>
  <c r="H4" i="5"/>
  <c r="F4" i="5"/>
  <c r="I4" i="5"/>
  <c r="G4" i="5"/>
  <c r="E4" i="5"/>
  <c r="D4" i="5"/>
  <c r="C4" i="5"/>
  <c r="B4" i="5"/>
  <c r="A5" i="5"/>
  <c r="B3" i="3"/>
  <c r="B4" i="3"/>
  <c r="B5" i="3"/>
  <c r="B6" i="3"/>
  <c r="B7" i="3"/>
  <c r="B8" i="3"/>
  <c r="B9" i="3"/>
  <c r="B10" i="3"/>
  <c r="B11" i="3"/>
  <c r="B12" i="3"/>
  <c r="B2" i="3"/>
  <c r="I5" i="5" l="1"/>
  <c r="G5" i="5"/>
  <c r="E5" i="5"/>
  <c r="J5" i="5"/>
  <c r="H5" i="5"/>
  <c r="F5" i="5"/>
  <c r="D5" i="5"/>
  <c r="C5" i="5"/>
  <c r="A6" i="5"/>
  <c r="B5" i="5"/>
  <c r="C3" i="2"/>
  <c r="C4" i="2"/>
  <c r="C5" i="2"/>
  <c r="C6" i="2"/>
  <c r="C2" i="2"/>
  <c r="J6" i="5" l="1"/>
  <c r="H6" i="5"/>
  <c r="F6" i="5"/>
  <c r="I6" i="5"/>
  <c r="G6" i="5"/>
  <c r="E6" i="5"/>
  <c r="C6" i="5"/>
  <c r="D6" i="5"/>
  <c r="A7" i="5"/>
  <c r="B6" i="5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8" i="1"/>
  <c r="I7" i="5" l="1"/>
  <c r="G7" i="5"/>
  <c r="E7" i="5"/>
  <c r="J7" i="5"/>
  <c r="H7" i="5"/>
  <c r="F7" i="5"/>
  <c r="D7" i="5"/>
  <c r="C7" i="5"/>
  <c r="A8" i="5"/>
  <c r="B7" i="5"/>
  <c r="J8" i="5" l="1"/>
  <c r="H8" i="5"/>
  <c r="F8" i="5"/>
  <c r="I8" i="5"/>
  <c r="G8" i="5"/>
  <c r="E8" i="5"/>
  <c r="D8" i="5"/>
  <c r="C8" i="5"/>
  <c r="A9" i="5"/>
  <c r="B8" i="5"/>
  <c r="I9" i="5" l="1"/>
  <c r="G9" i="5"/>
  <c r="E9" i="5"/>
  <c r="J9" i="5"/>
  <c r="H9" i="5"/>
  <c r="F9" i="5"/>
  <c r="D9" i="5"/>
  <c r="C9" i="5"/>
  <c r="A10" i="5"/>
  <c r="B9" i="5"/>
  <c r="J10" i="5" l="1"/>
  <c r="H10" i="5"/>
  <c r="F10" i="5"/>
  <c r="I10" i="5"/>
  <c r="G10" i="5"/>
  <c r="E10" i="5"/>
  <c r="C10" i="5"/>
  <c r="D10" i="5"/>
  <c r="A11" i="5"/>
  <c r="B10" i="5"/>
  <c r="I11" i="5" l="1"/>
  <c r="G11" i="5"/>
  <c r="E11" i="5"/>
  <c r="J11" i="5"/>
  <c r="H11" i="5"/>
  <c r="F11" i="5"/>
  <c r="D11" i="5"/>
  <c r="C11" i="5"/>
  <c r="A12" i="5"/>
  <c r="B11" i="5"/>
  <c r="J12" i="5" l="1"/>
  <c r="H12" i="5"/>
  <c r="F12" i="5"/>
  <c r="I12" i="5"/>
  <c r="G12" i="5"/>
  <c r="E12" i="5"/>
  <c r="D12" i="5"/>
  <c r="C12" i="5"/>
  <c r="A13" i="5"/>
  <c r="B12" i="5"/>
  <c r="I13" i="5" l="1"/>
  <c r="G13" i="5"/>
  <c r="E13" i="5"/>
  <c r="J13" i="5"/>
  <c r="H13" i="5"/>
  <c r="F13" i="5"/>
  <c r="D13" i="5"/>
  <c r="C13" i="5"/>
  <c r="A14" i="5"/>
  <c r="B13" i="5"/>
  <c r="J14" i="5" l="1"/>
  <c r="H14" i="5"/>
  <c r="F14" i="5"/>
  <c r="I14" i="5"/>
  <c r="G14" i="5"/>
  <c r="E14" i="5"/>
  <c r="C14" i="5"/>
  <c r="D14" i="5"/>
  <c r="A15" i="5"/>
  <c r="B14" i="5"/>
  <c r="I15" i="5" l="1"/>
  <c r="G15" i="5"/>
  <c r="E15" i="5"/>
  <c r="J15" i="5"/>
  <c r="H15" i="5"/>
  <c r="F15" i="5"/>
  <c r="D15" i="5"/>
  <c r="C15" i="5"/>
  <c r="A16" i="5"/>
  <c r="B15" i="5"/>
  <c r="J16" i="5" l="1"/>
  <c r="H16" i="5"/>
  <c r="F16" i="5"/>
  <c r="I16" i="5"/>
  <c r="G16" i="5"/>
  <c r="E16" i="5"/>
  <c r="D16" i="5"/>
  <c r="C16" i="5"/>
  <c r="A17" i="5"/>
  <c r="B16" i="5"/>
  <c r="I17" i="5" l="1"/>
  <c r="G17" i="5"/>
  <c r="E17" i="5"/>
  <c r="J17" i="5"/>
  <c r="H17" i="5"/>
  <c r="F17" i="5"/>
  <c r="D17" i="5"/>
  <c r="C17" i="5"/>
  <c r="A18" i="5"/>
  <c r="B17" i="5"/>
  <c r="J18" i="5" l="1"/>
  <c r="H18" i="5"/>
  <c r="F18" i="5"/>
  <c r="I18" i="5"/>
  <c r="G18" i="5"/>
  <c r="E18" i="5"/>
  <c r="C18" i="5"/>
  <c r="D18" i="5"/>
  <c r="A19" i="5"/>
  <c r="B18" i="5"/>
  <c r="I19" i="5" l="1"/>
  <c r="G19" i="5"/>
  <c r="E19" i="5"/>
  <c r="J19" i="5"/>
  <c r="H19" i="5"/>
  <c r="F19" i="5"/>
  <c r="D19" i="5"/>
  <c r="C19" i="5"/>
  <c r="A20" i="5"/>
  <c r="B19" i="5"/>
  <c r="J20" i="5" l="1"/>
  <c r="H20" i="5"/>
  <c r="F20" i="5"/>
  <c r="I20" i="5"/>
  <c r="G20" i="5"/>
  <c r="E20" i="5"/>
  <c r="D20" i="5"/>
  <c r="C20" i="5"/>
  <c r="A21" i="5"/>
  <c r="B20" i="5"/>
  <c r="I21" i="5" l="1"/>
  <c r="G21" i="5"/>
  <c r="E21" i="5"/>
  <c r="J21" i="5"/>
  <c r="H21" i="5"/>
  <c r="F21" i="5"/>
  <c r="D21" i="5"/>
  <c r="C21" i="5"/>
  <c r="A22" i="5"/>
  <c r="B21" i="5"/>
  <c r="J22" i="5" l="1"/>
  <c r="H22" i="5"/>
  <c r="F22" i="5"/>
  <c r="I22" i="5"/>
  <c r="G22" i="5"/>
  <c r="E22" i="5"/>
  <c r="D22" i="5"/>
  <c r="C22" i="5"/>
  <c r="A23" i="5"/>
  <c r="B22" i="5"/>
  <c r="I23" i="5" l="1"/>
  <c r="G23" i="5"/>
  <c r="E23" i="5"/>
  <c r="J23" i="5"/>
  <c r="H23" i="5"/>
  <c r="F23" i="5"/>
  <c r="D23" i="5"/>
  <c r="C23" i="5"/>
  <c r="A24" i="5"/>
  <c r="B23" i="5"/>
  <c r="J24" i="5" l="1"/>
  <c r="H24" i="5"/>
  <c r="F24" i="5"/>
  <c r="I24" i="5"/>
  <c r="G24" i="5"/>
  <c r="E24" i="5"/>
  <c r="D24" i="5"/>
  <c r="C24" i="5"/>
  <c r="A25" i="5"/>
  <c r="B24" i="5"/>
  <c r="I25" i="5" l="1"/>
  <c r="G25" i="5"/>
  <c r="E25" i="5"/>
  <c r="J25" i="5"/>
  <c r="H25" i="5"/>
  <c r="F25" i="5"/>
  <c r="D25" i="5"/>
  <c r="C25" i="5"/>
  <c r="A26" i="5"/>
  <c r="B25" i="5"/>
  <c r="J26" i="5" l="1"/>
  <c r="H26" i="5"/>
  <c r="F26" i="5"/>
  <c r="I26" i="5"/>
  <c r="G26" i="5"/>
  <c r="E26" i="5"/>
  <c r="D26" i="5"/>
  <c r="C26" i="5"/>
  <c r="A27" i="5"/>
  <c r="B26" i="5"/>
  <c r="I27" i="5" l="1"/>
  <c r="G27" i="5"/>
  <c r="E27" i="5"/>
  <c r="J27" i="5"/>
  <c r="H27" i="5"/>
  <c r="F27" i="5"/>
  <c r="D27" i="5"/>
  <c r="C27" i="5"/>
  <c r="A28" i="5"/>
  <c r="B27" i="5"/>
  <c r="J28" i="5" l="1"/>
  <c r="H28" i="5"/>
  <c r="F28" i="5"/>
  <c r="I28" i="5"/>
  <c r="G28" i="5"/>
  <c r="E28" i="5"/>
  <c r="D28" i="5"/>
  <c r="C28" i="5"/>
  <c r="A29" i="5"/>
  <c r="B28" i="5"/>
  <c r="I29" i="5" l="1"/>
  <c r="G29" i="5"/>
  <c r="E29" i="5"/>
  <c r="J29" i="5"/>
  <c r="H29" i="5"/>
  <c r="F29" i="5"/>
  <c r="D29" i="5"/>
  <c r="C29" i="5"/>
  <c r="A30" i="5"/>
  <c r="B29" i="5"/>
  <c r="J30" i="5" l="1"/>
  <c r="H30" i="5"/>
  <c r="F30" i="5"/>
  <c r="I30" i="5"/>
  <c r="G30" i="5"/>
  <c r="E30" i="5"/>
  <c r="D30" i="5"/>
  <c r="C30" i="5"/>
  <c r="A31" i="5"/>
  <c r="B30" i="5"/>
  <c r="I31" i="5" l="1"/>
  <c r="G31" i="5"/>
  <c r="E31" i="5"/>
  <c r="J31" i="5"/>
  <c r="H31" i="5"/>
  <c r="F31" i="5"/>
  <c r="D31" i="5"/>
  <c r="C31" i="5"/>
  <c r="A32" i="5"/>
  <c r="B31" i="5"/>
  <c r="J32" i="5" l="1"/>
  <c r="H32" i="5"/>
  <c r="F32" i="5"/>
  <c r="I32" i="5"/>
  <c r="G32" i="5"/>
  <c r="E32" i="5"/>
  <c r="D32" i="5"/>
  <c r="C32" i="5"/>
  <c r="A33" i="5"/>
  <c r="B32" i="5"/>
  <c r="I33" i="5" l="1"/>
  <c r="G33" i="5"/>
  <c r="E33" i="5"/>
  <c r="J33" i="5"/>
  <c r="H33" i="5"/>
  <c r="F33" i="5"/>
  <c r="D33" i="5"/>
  <c r="C33" i="5"/>
  <c r="A34" i="5"/>
  <c r="B33" i="5"/>
  <c r="J34" i="5" l="1"/>
  <c r="H34" i="5"/>
  <c r="F34" i="5"/>
  <c r="I34" i="5"/>
  <c r="G34" i="5"/>
  <c r="E34" i="5"/>
  <c r="D34" i="5"/>
  <c r="C34" i="5"/>
  <c r="A35" i="5"/>
  <c r="B34" i="5"/>
  <c r="I35" i="5" l="1"/>
  <c r="G35" i="5"/>
  <c r="E35" i="5"/>
  <c r="J35" i="5"/>
  <c r="H35" i="5"/>
  <c r="F35" i="5"/>
  <c r="D35" i="5"/>
  <c r="C35" i="5"/>
  <c r="A36" i="5"/>
  <c r="B35" i="5"/>
  <c r="J36" i="5" l="1"/>
  <c r="H36" i="5"/>
  <c r="F36" i="5"/>
  <c r="I36" i="5"/>
  <c r="G36" i="5"/>
  <c r="E36" i="5"/>
  <c r="D36" i="5"/>
  <c r="C36" i="5"/>
  <c r="A37" i="5"/>
  <c r="B36" i="5"/>
  <c r="I37" i="5" l="1"/>
  <c r="G37" i="5"/>
  <c r="E37" i="5"/>
  <c r="J37" i="5"/>
  <c r="H37" i="5"/>
  <c r="F37" i="5"/>
  <c r="D37" i="5"/>
  <c r="C37" i="5"/>
  <c r="A38" i="5"/>
  <c r="B37" i="5"/>
  <c r="J38" i="5" l="1"/>
  <c r="H38" i="5"/>
  <c r="F38" i="5"/>
  <c r="I38" i="5"/>
  <c r="G38" i="5"/>
  <c r="E38" i="5"/>
  <c r="D38" i="5"/>
  <c r="C38" i="5"/>
  <c r="A39" i="5"/>
  <c r="B38" i="5"/>
  <c r="I39" i="5" l="1"/>
  <c r="G39" i="5"/>
  <c r="E39" i="5"/>
  <c r="J39" i="5"/>
  <c r="H39" i="5"/>
  <c r="F39" i="5"/>
  <c r="D39" i="5"/>
  <c r="C39" i="5"/>
  <c r="A40" i="5"/>
  <c r="B39" i="5"/>
  <c r="J40" i="5" l="1"/>
  <c r="H40" i="5"/>
  <c r="F40" i="5"/>
  <c r="I40" i="5"/>
  <c r="G40" i="5"/>
  <c r="E40" i="5"/>
  <c r="D40" i="5"/>
  <c r="C40" i="5"/>
  <c r="A41" i="5"/>
  <c r="B40" i="5"/>
  <c r="I41" i="5" l="1"/>
  <c r="G41" i="5"/>
  <c r="E41" i="5"/>
  <c r="J41" i="5"/>
  <c r="H41" i="5"/>
  <c r="F41" i="5"/>
  <c r="D41" i="5"/>
  <c r="C41" i="5"/>
  <c r="A42" i="5"/>
  <c r="B41" i="5"/>
  <c r="J42" i="5" l="1"/>
  <c r="H42" i="5"/>
  <c r="F42" i="5"/>
  <c r="I42" i="5"/>
  <c r="G42" i="5"/>
  <c r="E42" i="5"/>
  <c r="D42" i="5"/>
  <c r="C42" i="5"/>
  <c r="A43" i="5"/>
  <c r="B42" i="5"/>
  <c r="I43" i="5" l="1"/>
  <c r="G43" i="5"/>
  <c r="E43" i="5"/>
  <c r="J43" i="5"/>
  <c r="H43" i="5"/>
  <c r="F43" i="5"/>
  <c r="D43" i="5"/>
  <c r="C43" i="5"/>
  <c r="A44" i="5"/>
  <c r="B43" i="5"/>
  <c r="J44" i="5" l="1"/>
  <c r="H44" i="5"/>
  <c r="F44" i="5"/>
  <c r="I44" i="5"/>
  <c r="G44" i="5"/>
  <c r="E44" i="5"/>
  <c r="D44" i="5"/>
  <c r="C44" i="5"/>
  <c r="A45" i="5"/>
  <c r="B44" i="5"/>
  <c r="I45" i="5" l="1"/>
  <c r="G45" i="5"/>
  <c r="E45" i="5"/>
  <c r="J45" i="5"/>
  <c r="H45" i="5"/>
  <c r="F45" i="5"/>
  <c r="D45" i="5"/>
  <c r="C45" i="5"/>
  <c r="A46" i="5"/>
  <c r="B45" i="5"/>
  <c r="J46" i="5" l="1"/>
  <c r="H46" i="5"/>
  <c r="F46" i="5"/>
  <c r="I46" i="5"/>
  <c r="G46" i="5"/>
  <c r="E46" i="5"/>
  <c r="D46" i="5"/>
  <c r="C46" i="5"/>
  <c r="A47" i="5"/>
  <c r="B46" i="5"/>
  <c r="I47" i="5" l="1"/>
  <c r="G47" i="5"/>
  <c r="E47" i="5"/>
  <c r="J47" i="5"/>
  <c r="H47" i="5"/>
  <c r="F47" i="5"/>
  <c r="D47" i="5"/>
  <c r="C47" i="5"/>
  <c r="A48" i="5"/>
  <c r="B47" i="5"/>
  <c r="J48" i="5" l="1"/>
  <c r="H48" i="5"/>
  <c r="F48" i="5"/>
  <c r="I48" i="5"/>
  <c r="G48" i="5"/>
  <c r="E48" i="5"/>
  <c r="C48" i="5"/>
  <c r="D48" i="5"/>
  <c r="A49" i="5"/>
  <c r="B48" i="5"/>
  <c r="I49" i="5" l="1"/>
  <c r="G49" i="5"/>
  <c r="E49" i="5"/>
  <c r="J49" i="5"/>
  <c r="H49" i="5"/>
  <c r="F49" i="5"/>
  <c r="D49" i="5"/>
  <c r="C49" i="5"/>
  <c r="A50" i="5"/>
  <c r="B49" i="5"/>
  <c r="J50" i="5" l="1"/>
  <c r="H50" i="5"/>
  <c r="F50" i="5"/>
  <c r="I50" i="5"/>
  <c r="G50" i="5"/>
  <c r="E50" i="5"/>
  <c r="D50" i="5"/>
  <c r="C50" i="5"/>
  <c r="A51" i="5"/>
  <c r="B50" i="5"/>
  <c r="I51" i="5" l="1"/>
  <c r="G51" i="5"/>
  <c r="E51" i="5"/>
  <c r="J51" i="5"/>
  <c r="H51" i="5"/>
  <c r="F51" i="5"/>
  <c r="D51" i="5"/>
  <c r="C51" i="5"/>
  <c r="A52" i="5"/>
  <c r="B51" i="5"/>
  <c r="J52" i="5" l="1"/>
  <c r="H52" i="5"/>
  <c r="F52" i="5"/>
  <c r="I52" i="5"/>
  <c r="G52" i="5"/>
  <c r="E52" i="5"/>
  <c r="D52" i="5"/>
  <c r="C52" i="5"/>
  <c r="B52" i="5"/>
  <c r="A53" i="5"/>
  <c r="I53" i="5" l="1"/>
  <c r="G53" i="5"/>
  <c r="E53" i="5"/>
  <c r="J53" i="5"/>
  <c r="H53" i="5"/>
  <c r="F53" i="5"/>
  <c r="D53" i="5"/>
  <c r="C53" i="5"/>
  <c r="A54" i="5"/>
  <c r="B53" i="5"/>
  <c r="J54" i="5" l="1"/>
  <c r="H54" i="5"/>
  <c r="F54" i="5"/>
  <c r="I54" i="5"/>
  <c r="G54" i="5"/>
  <c r="E54" i="5"/>
  <c r="C54" i="5"/>
  <c r="D54" i="5"/>
  <c r="A55" i="5"/>
  <c r="B54" i="5"/>
  <c r="I55" i="5" l="1"/>
  <c r="G55" i="5"/>
  <c r="E55" i="5"/>
  <c r="J55" i="5"/>
  <c r="H55" i="5"/>
  <c r="F55" i="5"/>
  <c r="D55" i="5"/>
  <c r="C55" i="5"/>
  <c r="A56" i="5"/>
  <c r="B55" i="5"/>
  <c r="J56" i="5" l="1"/>
  <c r="H56" i="5"/>
  <c r="F56" i="5"/>
  <c r="I56" i="5"/>
  <c r="G56" i="5"/>
  <c r="E56" i="5"/>
  <c r="D56" i="5"/>
  <c r="C56" i="5"/>
  <c r="A57" i="5"/>
  <c r="B56" i="5"/>
  <c r="I57" i="5" l="1"/>
  <c r="G57" i="5"/>
  <c r="E57" i="5"/>
  <c r="J57" i="5"/>
  <c r="H57" i="5"/>
  <c r="F57" i="5"/>
  <c r="D57" i="5"/>
  <c r="C57" i="5"/>
  <c r="A58" i="5"/>
  <c r="B57" i="5"/>
  <c r="J58" i="5" l="1"/>
  <c r="H58" i="5"/>
  <c r="F58" i="5"/>
  <c r="I58" i="5"/>
  <c r="G58" i="5"/>
  <c r="E58" i="5"/>
  <c r="C58" i="5"/>
  <c r="D58" i="5"/>
  <c r="A59" i="5"/>
  <c r="B58" i="5"/>
  <c r="I59" i="5" l="1"/>
  <c r="G59" i="5"/>
  <c r="E59" i="5"/>
  <c r="J59" i="5"/>
  <c r="H59" i="5"/>
  <c r="F59" i="5"/>
  <c r="D59" i="5"/>
  <c r="C59" i="5"/>
  <c r="A60" i="5"/>
  <c r="B59" i="5"/>
  <c r="J60" i="5" l="1"/>
  <c r="H60" i="5"/>
  <c r="F60" i="5"/>
  <c r="I60" i="5"/>
  <c r="G60" i="5"/>
  <c r="E60" i="5"/>
  <c r="D60" i="5"/>
  <c r="C60" i="5"/>
  <c r="A61" i="5"/>
  <c r="B60" i="5"/>
  <c r="I61" i="5" l="1"/>
  <c r="G61" i="5"/>
  <c r="E61" i="5"/>
  <c r="J61" i="5"/>
  <c r="H61" i="5"/>
  <c r="F61" i="5"/>
  <c r="D61" i="5"/>
  <c r="C61" i="5"/>
  <c r="A62" i="5"/>
  <c r="B61" i="5"/>
  <c r="J62" i="5" l="1"/>
  <c r="H62" i="5"/>
  <c r="F62" i="5"/>
  <c r="I62" i="5"/>
  <c r="G62" i="5"/>
  <c r="E62" i="5"/>
  <c r="C62" i="5"/>
  <c r="D62" i="5"/>
  <c r="A63" i="5"/>
  <c r="B62" i="5"/>
  <c r="I63" i="5" l="1"/>
  <c r="G63" i="5"/>
  <c r="J63" i="5"/>
  <c r="H63" i="5"/>
  <c r="F63" i="5"/>
  <c r="E63" i="5"/>
  <c r="D63" i="5"/>
  <c r="C63" i="5"/>
  <c r="A64" i="5"/>
  <c r="B63" i="5"/>
  <c r="J64" i="5" l="1"/>
  <c r="H64" i="5"/>
  <c r="F64" i="5"/>
  <c r="I64" i="5"/>
  <c r="G64" i="5"/>
  <c r="E64" i="5"/>
  <c r="D64" i="5"/>
  <c r="C64" i="5"/>
  <c r="A65" i="5"/>
  <c r="B64" i="5"/>
  <c r="I65" i="5" l="1"/>
  <c r="G65" i="5"/>
  <c r="J65" i="5"/>
  <c r="H65" i="5"/>
  <c r="F65" i="5"/>
  <c r="D65" i="5"/>
  <c r="E65" i="5"/>
  <c r="C65" i="5"/>
  <c r="A66" i="5"/>
  <c r="B65" i="5"/>
  <c r="J66" i="5" l="1"/>
  <c r="H66" i="5"/>
  <c r="F66" i="5"/>
  <c r="I66" i="5"/>
  <c r="G66" i="5"/>
  <c r="E66" i="5"/>
  <c r="C66" i="5"/>
  <c r="D66" i="5"/>
  <c r="A67" i="5"/>
  <c r="B66" i="5"/>
  <c r="I67" i="5" l="1"/>
  <c r="G67" i="5"/>
  <c r="J67" i="5"/>
  <c r="H67" i="5"/>
  <c r="F67" i="5"/>
  <c r="E67" i="5"/>
  <c r="D67" i="5"/>
  <c r="C67" i="5"/>
  <c r="A68" i="5"/>
  <c r="B67" i="5"/>
  <c r="J68" i="5" l="1"/>
  <c r="H68" i="5"/>
  <c r="F68" i="5"/>
  <c r="I68" i="5"/>
  <c r="G68" i="5"/>
  <c r="E68" i="5"/>
  <c r="D68" i="5"/>
  <c r="C68" i="5"/>
  <c r="A69" i="5"/>
  <c r="B68" i="5"/>
  <c r="I69" i="5" l="1"/>
  <c r="G69" i="5"/>
  <c r="J69" i="5"/>
  <c r="H69" i="5"/>
  <c r="F69" i="5"/>
  <c r="D69" i="5"/>
  <c r="E69" i="5"/>
  <c r="C69" i="5"/>
  <c r="A70" i="5"/>
  <c r="B69" i="5"/>
  <c r="J70" i="5" l="1"/>
  <c r="H70" i="5"/>
  <c r="F70" i="5"/>
  <c r="I70" i="5"/>
  <c r="G70" i="5"/>
  <c r="E70" i="5"/>
  <c r="C70" i="5"/>
  <c r="D70" i="5"/>
  <c r="A71" i="5"/>
  <c r="B70" i="5"/>
  <c r="I71" i="5" l="1"/>
  <c r="G71" i="5"/>
  <c r="J71" i="5"/>
  <c r="H71" i="5"/>
  <c r="F71" i="5"/>
  <c r="E71" i="5"/>
  <c r="D71" i="5"/>
  <c r="C71" i="5"/>
  <c r="A72" i="5"/>
  <c r="B71" i="5"/>
  <c r="J72" i="5" l="1"/>
  <c r="H72" i="5"/>
  <c r="F72" i="5"/>
  <c r="I72" i="5"/>
  <c r="G72" i="5"/>
  <c r="E72" i="5"/>
  <c r="D72" i="5"/>
  <c r="C72" i="5"/>
  <c r="A73" i="5"/>
  <c r="B72" i="5"/>
  <c r="I73" i="5" l="1"/>
  <c r="G73" i="5"/>
  <c r="J73" i="5"/>
  <c r="H73" i="5"/>
  <c r="F73" i="5"/>
  <c r="D73" i="5"/>
  <c r="E73" i="5"/>
  <c r="C73" i="5"/>
  <c r="B73" i="5"/>
  <c r="A74" i="5"/>
  <c r="J74" i="5" l="1"/>
  <c r="H74" i="5"/>
  <c r="F74" i="5"/>
  <c r="I74" i="5"/>
  <c r="G74" i="5"/>
  <c r="E74" i="5"/>
  <c r="C74" i="5"/>
  <c r="D74" i="5"/>
  <c r="B74" i="5"/>
  <c r="A75" i="5"/>
  <c r="I75" i="5" l="1"/>
  <c r="G75" i="5"/>
  <c r="J75" i="5"/>
  <c r="H75" i="5"/>
  <c r="F75" i="5"/>
  <c r="E75" i="5"/>
  <c r="D75" i="5"/>
  <c r="C75" i="5"/>
  <c r="A76" i="5"/>
  <c r="B75" i="5"/>
  <c r="J76" i="5" l="1"/>
  <c r="H76" i="5"/>
  <c r="F76" i="5"/>
  <c r="I76" i="5"/>
  <c r="G76" i="5"/>
  <c r="E76" i="5"/>
  <c r="D76" i="5"/>
  <c r="C76" i="5"/>
  <c r="A77" i="5"/>
  <c r="B76" i="5"/>
  <c r="I77" i="5" l="1"/>
  <c r="G77" i="5"/>
  <c r="J77" i="5"/>
  <c r="H77" i="5"/>
  <c r="F77" i="5"/>
  <c r="D77" i="5"/>
  <c r="E77" i="5"/>
  <c r="C77" i="5"/>
  <c r="A78" i="5"/>
  <c r="B77" i="5"/>
  <c r="J78" i="5" l="1"/>
  <c r="H78" i="5"/>
  <c r="F78" i="5"/>
  <c r="I78" i="5"/>
  <c r="G78" i="5"/>
  <c r="E78" i="5"/>
  <c r="D78" i="5"/>
  <c r="C78" i="5"/>
  <c r="A79" i="5"/>
  <c r="B78" i="5"/>
  <c r="I79" i="5" l="1"/>
  <c r="G79" i="5"/>
  <c r="J79" i="5"/>
  <c r="H79" i="5"/>
  <c r="F79" i="5"/>
  <c r="E79" i="5"/>
  <c r="D79" i="5"/>
  <c r="C79" i="5"/>
  <c r="A80" i="5"/>
  <c r="B79" i="5"/>
  <c r="A81" i="5" l="1"/>
  <c r="J80" i="5"/>
  <c r="H80" i="5"/>
  <c r="F80" i="5"/>
  <c r="I80" i="5"/>
  <c r="G80" i="5"/>
  <c r="E80" i="5"/>
  <c r="C80" i="5"/>
  <c r="D80" i="5"/>
  <c r="B80" i="5"/>
  <c r="A82" i="5" l="1"/>
  <c r="B81" i="5"/>
  <c r="D81" i="5"/>
  <c r="F81" i="5"/>
  <c r="H81" i="5"/>
  <c r="J81" i="5"/>
  <c r="C81" i="5"/>
  <c r="E81" i="5"/>
  <c r="G81" i="5"/>
  <c r="I81" i="5"/>
  <c r="A83" i="5" l="1"/>
  <c r="C82" i="5"/>
  <c r="E82" i="5"/>
  <c r="G82" i="5"/>
  <c r="I82" i="5"/>
  <c r="B82" i="5"/>
  <c r="D82" i="5"/>
  <c r="F82" i="5"/>
  <c r="H82" i="5"/>
  <c r="J82" i="5"/>
  <c r="A84" i="5" l="1"/>
  <c r="B83" i="5"/>
  <c r="D83" i="5"/>
  <c r="F83" i="5"/>
  <c r="H83" i="5"/>
  <c r="J83" i="5"/>
  <c r="C83" i="5"/>
  <c r="E83" i="5"/>
  <c r="G83" i="5"/>
  <c r="I83" i="5"/>
  <c r="A85" i="5" l="1"/>
  <c r="C84" i="5"/>
  <c r="E84" i="5"/>
  <c r="G84" i="5"/>
  <c r="I84" i="5"/>
  <c r="B84" i="5"/>
  <c r="D84" i="5"/>
  <c r="F84" i="5"/>
  <c r="H84" i="5"/>
  <c r="J84" i="5"/>
  <c r="A86" i="5" l="1"/>
  <c r="B85" i="5"/>
  <c r="D85" i="5"/>
  <c r="F85" i="5"/>
  <c r="H85" i="5"/>
  <c r="J85" i="5"/>
  <c r="C85" i="5"/>
  <c r="E85" i="5"/>
  <c r="G85" i="5"/>
  <c r="I85" i="5"/>
  <c r="A87" i="5" l="1"/>
  <c r="C86" i="5"/>
  <c r="E86" i="5"/>
  <c r="G86" i="5"/>
  <c r="I86" i="5"/>
  <c r="B86" i="5"/>
  <c r="D86" i="5"/>
  <c r="F86" i="5"/>
  <c r="H86" i="5"/>
  <c r="J86" i="5"/>
  <c r="A88" i="5" l="1"/>
  <c r="B87" i="5"/>
  <c r="D87" i="5"/>
  <c r="F87" i="5"/>
  <c r="H87" i="5"/>
  <c r="J87" i="5"/>
  <c r="I87" i="5"/>
  <c r="C87" i="5"/>
  <c r="E87" i="5"/>
  <c r="G87" i="5"/>
  <c r="A89" i="5" l="1"/>
  <c r="C88" i="5"/>
  <c r="E88" i="5"/>
  <c r="G88" i="5"/>
  <c r="I88" i="5"/>
  <c r="D88" i="5"/>
  <c r="H88" i="5"/>
  <c r="J88" i="5"/>
  <c r="B88" i="5"/>
  <c r="F88" i="5"/>
  <c r="A90" i="5" l="1"/>
  <c r="B89" i="5"/>
  <c r="D89" i="5"/>
  <c r="F89" i="5"/>
  <c r="H89" i="5"/>
  <c r="J89" i="5"/>
  <c r="C89" i="5"/>
  <c r="G89" i="5"/>
  <c r="E89" i="5"/>
  <c r="I89" i="5"/>
  <c r="A91" i="5" l="1"/>
  <c r="C90" i="5"/>
  <c r="E90" i="5"/>
  <c r="G90" i="5"/>
  <c r="I90" i="5"/>
  <c r="B90" i="5"/>
  <c r="D90" i="5"/>
  <c r="F90" i="5"/>
  <c r="H90" i="5"/>
  <c r="J90" i="5"/>
  <c r="C91" i="5" l="1"/>
  <c r="E91" i="5"/>
  <c r="G91" i="5"/>
  <c r="I91" i="5"/>
  <c r="A92" i="5"/>
  <c r="B91" i="5"/>
  <c r="D91" i="5"/>
  <c r="F91" i="5"/>
  <c r="H91" i="5"/>
  <c r="J91" i="5"/>
  <c r="B92" i="5" l="1"/>
  <c r="D92" i="5"/>
  <c r="F92" i="5"/>
  <c r="H92" i="5"/>
  <c r="J92" i="5"/>
  <c r="C92" i="5"/>
  <c r="E92" i="5"/>
  <c r="G92" i="5"/>
  <c r="I92" i="5"/>
  <c r="A93" i="5"/>
  <c r="B93" i="5" l="1"/>
  <c r="C93" i="5"/>
  <c r="G93" i="5"/>
  <c r="J93" i="5"/>
  <c r="E93" i="5"/>
  <c r="I93" i="5"/>
  <c r="A94" i="5"/>
  <c r="F93" i="5"/>
  <c r="H93" i="5"/>
  <c r="D93" i="5"/>
  <c r="B94" i="5" l="1"/>
  <c r="C94" i="5"/>
  <c r="G94" i="5"/>
  <c r="A95" i="5"/>
  <c r="E94" i="5"/>
  <c r="I94" i="5"/>
  <c r="H94" i="5"/>
  <c r="D94" i="5"/>
  <c r="J94" i="5"/>
  <c r="F94" i="5"/>
  <c r="B95" i="5" l="1"/>
  <c r="E95" i="5"/>
  <c r="I95" i="5"/>
  <c r="C95" i="5"/>
  <c r="G95" i="5"/>
  <c r="A96" i="5"/>
  <c r="H95" i="5"/>
  <c r="D95" i="5"/>
  <c r="J95" i="5"/>
  <c r="F95" i="5"/>
  <c r="B96" i="5" l="1"/>
  <c r="C96" i="5"/>
  <c r="G96" i="5"/>
  <c r="A97" i="5"/>
  <c r="E96" i="5"/>
  <c r="I96" i="5"/>
  <c r="H96" i="5"/>
  <c r="D96" i="5"/>
  <c r="J96" i="5"/>
  <c r="F96" i="5"/>
  <c r="B97" i="5" l="1"/>
  <c r="E97" i="5"/>
  <c r="I97" i="5"/>
  <c r="C97" i="5"/>
  <c r="G97" i="5"/>
  <c r="A98" i="5"/>
  <c r="H97" i="5"/>
  <c r="D97" i="5"/>
  <c r="J97" i="5"/>
  <c r="F97" i="5"/>
  <c r="B98" i="5" l="1"/>
  <c r="C98" i="5"/>
  <c r="G98" i="5"/>
  <c r="A99" i="5"/>
  <c r="E98" i="5"/>
  <c r="I98" i="5"/>
  <c r="H98" i="5"/>
  <c r="D98" i="5"/>
  <c r="J98" i="5"/>
  <c r="F98" i="5"/>
  <c r="B99" i="5" l="1"/>
  <c r="E99" i="5"/>
  <c r="I99" i="5"/>
  <c r="C99" i="5"/>
  <c r="G99" i="5"/>
  <c r="A100" i="5"/>
  <c r="H99" i="5"/>
  <c r="D99" i="5"/>
  <c r="J99" i="5"/>
  <c r="F99" i="5"/>
  <c r="B100" i="5" l="1"/>
  <c r="C100" i="5"/>
  <c r="G100" i="5"/>
  <c r="A101" i="5"/>
  <c r="E100" i="5"/>
  <c r="I100" i="5"/>
  <c r="H100" i="5"/>
  <c r="D100" i="5"/>
  <c r="J100" i="5"/>
  <c r="F100" i="5"/>
  <c r="B101" i="5" l="1"/>
  <c r="E101" i="5"/>
  <c r="I101" i="5"/>
  <c r="C101" i="5"/>
  <c r="G101" i="5"/>
  <c r="A102" i="5"/>
  <c r="H101" i="5"/>
  <c r="D101" i="5"/>
  <c r="J101" i="5"/>
  <c r="F101" i="5"/>
  <c r="B102" i="5" l="1"/>
  <c r="C102" i="5"/>
  <c r="G102" i="5"/>
  <c r="A103" i="5"/>
  <c r="E102" i="5"/>
  <c r="I102" i="5"/>
  <c r="H102" i="5"/>
  <c r="D102" i="5"/>
  <c r="J102" i="5"/>
  <c r="F102" i="5"/>
  <c r="B103" i="5" l="1"/>
  <c r="E103" i="5"/>
  <c r="I103" i="5"/>
  <c r="C103" i="5"/>
  <c r="G103" i="5"/>
  <c r="A104" i="5"/>
  <c r="H103" i="5"/>
  <c r="D103" i="5"/>
  <c r="J103" i="5"/>
  <c r="F103" i="5"/>
  <c r="B104" i="5" l="1"/>
  <c r="C104" i="5"/>
  <c r="G104" i="5"/>
  <c r="A105" i="5"/>
  <c r="E104" i="5"/>
  <c r="I104" i="5"/>
  <c r="H104" i="5"/>
  <c r="D104" i="5"/>
  <c r="J104" i="5"/>
  <c r="F104" i="5"/>
  <c r="B105" i="5" l="1"/>
  <c r="E105" i="5"/>
  <c r="I105" i="5"/>
  <c r="C105" i="5"/>
  <c r="G105" i="5"/>
  <c r="A106" i="5"/>
  <c r="H105" i="5"/>
  <c r="D105" i="5"/>
  <c r="J105" i="5"/>
  <c r="F105" i="5"/>
  <c r="B106" i="5" l="1"/>
  <c r="C106" i="5"/>
  <c r="G106" i="5"/>
  <c r="A107" i="5"/>
  <c r="E106" i="5"/>
  <c r="I106" i="5"/>
  <c r="H106" i="5"/>
  <c r="D106" i="5"/>
  <c r="J106" i="5"/>
  <c r="F106" i="5"/>
  <c r="B107" i="5" l="1"/>
  <c r="E107" i="5"/>
  <c r="I107" i="5"/>
  <c r="C107" i="5"/>
  <c r="G107" i="5"/>
  <c r="A108" i="5"/>
  <c r="H107" i="5"/>
  <c r="D107" i="5"/>
  <c r="J107" i="5"/>
  <c r="F107" i="5"/>
  <c r="B108" i="5" l="1"/>
  <c r="C108" i="5"/>
  <c r="G108" i="5"/>
  <c r="A109" i="5"/>
  <c r="E108" i="5"/>
  <c r="I108" i="5"/>
  <c r="H108" i="5"/>
  <c r="D108" i="5"/>
  <c r="J108" i="5"/>
  <c r="F108" i="5"/>
  <c r="B109" i="5" l="1"/>
  <c r="E109" i="5"/>
  <c r="I109" i="5"/>
  <c r="C109" i="5"/>
  <c r="G109" i="5"/>
  <c r="A110" i="5"/>
  <c r="H109" i="5"/>
  <c r="D109" i="5"/>
  <c r="J109" i="5"/>
  <c r="F109" i="5"/>
  <c r="B110" i="5" l="1"/>
  <c r="C110" i="5"/>
  <c r="G110" i="5"/>
  <c r="A111" i="5"/>
  <c r="E110" i="5"/>
  <c r="I110" i="5"/>
  <c r="H110" i="5"/>
  <c r="D110" i="5"/>
  <c r="J110" i="5"/>
  <c r="F110" i="5"/>
  <c r="B111" i="5" l="1"/>
  <c r="E111" i="5"/>
  <c r="I111" i="5"/>
  <c r="C111" i="5"/>
  <c r="G111" i="5"/>
  <c r="A112" i="5"/>
  <c r="H111" i="5"/>
  <c r="D111" i="5"/>
  <c r="J111" i="5"/>
  <c r="F111" i="5"/>
  <c r="B112" i="5" l="1"/>
  <c r="C112" i="5"/>
  <c r="G112" i="5"/>
  <c r="A113" i="5"/>
  <c r="E112" i="5"/>
  <c r="I112" i="5"/>
  <c r="H112" i="5"/>
  <c r="D112" i="5"/>
  <c r="J112" i="5"/>
  <c r="F112" i="5"/>
  <c r="B113" i="5" l="1"/>
  <c r="E113" i="5"/>
  <c r="I113" i="5"/>
  <c r="C113" i="5"/>
  <c r="G113" i="5"/>
  <c r="A114" i="5"/>
  <c r="H113" i="5"/>
  <c r="D113" i="5"/>
  <c r="J113" i="5"/>
  <c r="F113" i="5"/>
  <c r="B114" i="5" l="1"/>
  <c r="C114" i="5"/>
  <c r="G114" i="5"/>
  <c r="A115" i="5"/>
  <c r="E114" i="5"/>
  <c r="I114" i="5"/>
  <c r="H114" i="5"/>
  <c r="D114" i="5"/>
  <c r="J114" i="5"/>
  <c r="F114" i="5"/>
  <c r="B115" i="5" l="1"/>
  <c r="E115" i="5"/>
  <c r="I115" i="5"/>
  <c r="C115" i="5"/>
  <c r="G115" i="5"/>
  <c r="A116" i="5"/>
  <c r="H115" i="5"/>
  <c r="D115" i="5"/>
  <c r="J115" i="5"/>
  <c r="F115" i="5"/>
  <c r="B116" i="5" l="1"/>
  <c r="C116" i="5"/>
  <c r="G116" i="5"/>
  <c r="A117" i="5"/>
  <c r="E116" i="5"/>
  <c r="I116" i="5"/>
  <c r="H116" i="5"/>
  <c r="D116" i="5"/>
  <c r="J116" i="5"/>
  <c r="F116" i="5"/>
  <c r="B117" i="5" l="1"/>
  <c r="E117" i="5"/>
  <c r="I117" i="5"/>
  <c r="C117" i="5"/>
  <c r="G117" i="5"/>
  <c r="A118" i="5"/>
  <c r="H117" i="5"/>
  <c r="D117" i="5"/>
  <c r="J117" i="5"/>
  <c r="F117" i="5"/>
  <c r="B118" i="5" l="1"/>
  <c r="C118" i="5"/>
  <c r="G118" i="5"/>
  <c r="A119" i="5"/>
  <c r="E118" i="5"/>
  <c r="I118" i="5"/>
  <c r="H118" i="5"/>
  <c r="D118" i="5"/>
  <c r="J118" i="5"/>
  <c r="F118" i="5"/>
  <c r="B119" i="5" l="1"/>
  <c r="E119" i="5"/>
  <c r="I119" i="5"/>
  <c r="C119" i="5"/>
  <c r="G119" i="5"/>
  <c r="A120" i="5"/>
  <c r="H119" i="5"/>
  <c r="D119" i="5"/>
  <c r="J119" i="5"/>
  <c r="F119" i="5"/>
  <c r="B120" i="5" l="1"/>
  <c r="C120" i="5"/>
  <c r="G120" i="5"/>
  <c r="A121" i="5"/>
  <c r="E120" i="5"/>
  <c r="I120" i="5"/>
  <c r="H120" i="5"/>
  <c r="D120" i="5"/>
  <c r="J120" i="5"/>
  <c r="F120" i="5"/>
  <c r="B121" i="5" l="1"/>
  <c r="E121" i="5"/>
  <c r="I121" i="5"/>
  <c r="C121" i="5"/>
  <c r="G121" i="5"/>
  <c r="A122" i="5"/>
  <c r="H121" i="5"/>
  <c r="D121" i="5"/>
  <c r="J121" i="5"/>
  <c r="F121" i="5"/>
  <c r="B122" i="5" l="1"/>
  <c r="C122" i="5"/>
  <c r="G122" i="5"/>
  <c r="E122" i="5"/>
  <c r="I122" i="5"/>
  <c r="H122" i="5"/>
  <c r="D122" i="5"/>
  <c r="J122" i="5"/>
  <c r="F122" i="5"/>
</calcChain>
</file>

<file path=xl/sharedStrings.xml><?xml version="1.0" encoding="utf-8"?>
<sst xmlns="http://schemas.openxmlformats.org/spreadsheetml/2006/main" count="567" uniqueCount="119">
  <si>
    <t>No</t>
  </si>
  <si>
    <t>HIGHLIGHTED CELL RULES</t>
  </si>
  <si>
    <t>Greater Than</t>
  </si>
  <si>
    <t>Between</t>
  </si>
  <si>
    <t>Contains</t>
  </si>
  <si>
    <t>Duplicacy</t>
  </si>
  <si>
    <t>Deepak Kumar</t>
  </si>
  <si>
    <t>Deepak</t>
  </si>
  <si>
    <t>Sanjay Kumar singh</t>
  </si>
  <si>
    <t>Sanjeet</t>
  </si>
  <si>
    <t>Raju Mukherji</t>
  </si>
  <si>
    <t>Raju</t>
  </si>
  <si>
    <t>Deepak Yadav</t>
  </si>
  <si>
    <t>Lokesh Sharma</t>
  </si>
  <si>
    <t>Mohan</t>
  </si>
  <si>
    <t>Kumar Rahul</t>
  </si>
  <si>
    <t>Sohan</t>
  </si>
  <si>
    <t>Pankaj Chauhan</t>
  </si>
  <si>
    <t>Sunil</t>
  </si>
  <si>
    <t>Satish Kumar</t>
  </si>
  <si>
    <t>Top Bottom Ruls</t>
  </si>
  <si>
    <t>Top 3</t>
  </si>
  <si>
    <t>Above Average</t>
  </si>
  <si>
    <t>DATA BARS</t>
  </si>
  <si>
    <t>&gt;30</t>
  </si>
  <si>
    <t>30-43</t>
  </si>
  <si>
    <t>Color Scales</t>
  </si>
  <si>
    <t>Color Index</t>
  </si>
  <si>
    <t>ICON SETS</t>
  </si>
  <si>
    <t>Players Name</t>
  </si>
  <si>
    <t>Score</t>
  </si>
  <si>
    <t>Sachin</t>
  </si>
  <si>
    <t>Sahbag</t>
  </si>
  <si>
    <t>Dhoni</t>
  </si>
  <si>
    <t>Raina</t>
  </si>
  <si>
    <t>Virat</t>
  </si>
  <si>
    <t>&lt;33</t>
  </si>
  <si>
    <t>Red</t>
  </si>
  <si>
    <t>&gt;=33 and &lt;45</t>
  </si>
  <si>
    <t>Green</t>
  </si>
  <si>
    <t>&gt;=45 and &lt;60</t>
  </si>
  <si>
    <t>Blue</t>
  </si>
  <si>
    <t>&gt;=60 and &lt;=100</t>
  </si>
  <si>
    <t>Yellow</t>
  </si>
  <si>
    <t>Data</t>
  </si>
  <si>
    <t>Symbol</t>
  </si>
  <si>
    <t>Customer</t>
  </si>
  <si>
    <t>Roberts</t>
  </si>
  <si>
    <t>Smith</t>
  </si>
  <si>
    <t>Pradesh</t>
  </si>
  <si>
    <t>Kee</t>
  </si>
  <si>
    <t>Unique</t>
  </si>
  <si>
    <t>Duplicate</t>
  </si>
  <si>
    <t>Date</t>
  </si>
  <si>
    <t>Last week</t>
  </si>
  <si>
    <t>Last Month</t>
  </si>
  <si>
    <t>Requirement</t>
  </si>
  <si>
    <t>Formulas</t>
  </si>
  <si>
    <t>Today</t>
  </si>
  <si>
    <t xml:space="preserve"> =$a2=today()</t>
  </si>
  <si>
    <t>Yesterday</t>
  </si>
  <si>
    <t xml:space="preserve"> =$a2=today()-1</t>
  </si>
  <si>
    <t>Tommorow</t>
  </si>
  <si>
    <t xml:space="preserve"> =$a2=today()+1</t>
  </si>
  <si>
    <t xml:space="preserve"> =weeknum($a2)=weeknum(today())-1</t>
  </si>
  <si>
    <t>Next week</t>
  </si>
  <si>
    <t xml:space="preserve"> =weeknum($a2)=weeknum(today())+1</t>
  </si>
  <si>
    <t>This week</t>
  </si>
  <si>
    <t xml:space="preserve"> =weeknum($a2)=weeknum(today())</t>
  </si>
  <si>
    <t>Last Seven days</t>
  </si>
  <si>
    <t xml:space="preserve"> =or($a2=today()-1,$a2=today()-2,$a2=today()-3,$a2=today()-4,$a2=today()-5,$a2=today()-6,$a2=today()-7)</t>
  </si>
  <si>
    <t xml:space="preserve"> =month($a2)=month(today())-1</t>
  </si>
  <si>
    <t>This month</t>
  </si>
  <si>
    <t xml:space="preserve"> =month($a2)=month(today())</t>
  </si>
  <si>
    <t>Next Month</t>
  </si>
  <si>
    <t xml:space="preserve"> =month($a2)=month(today())+1</t>
  </si>
  <si>
    <t>today</t>
  </si>
  <si>
    <t>Tommorrow</t>
  </si>
  <si>
    <t>Last Week</t>
  </si>
  <si>
    <t>Next Week</t>
  </si>
  <si>
    <t>This Month</t>
  </si>
  <si>
    <t>Status</t>
  </si>
  <si>
    <t>Error</t>
  </si>
  <si>
    <t>Accuracy</t>
  </si>
  <si>
    <t>Pending</t>
  </si>
  <si>
    <t>done</t>
  </si>
  <si>
    <t>Done</t>
  </si>
  <si>
    <t>Maximum</t>
  </si>
  <si>
    <t>Minimum</t>
  </si>
  <si>
    <t>Subject</t>
  </si>
  <si>
    <t>Dinesh</t>
  </si>
  <si>
    <t>yogesh</t>
  </si>
  <si>
    <t>umesh</t>
  </si>
  <si>
    <t>inder</t>
  </si>
  <si>
    <t>om</t>
  </si>
  <si>
    <t>Eng</t>
  </si>
  <si>
    <t>Math</t>
  </si>
  <si>
    <t>SST</t>
  </si>
  <si>
    <t>Science</t>
  </si>
  <si>
    <t>income Tax</t>
  </si>
  <si>
    <t>Business</t>
  </si>
  <si>
    <t xml:space="preserve"> =B2=MAX(B$2:B$7)</t>
  </si>
  <si>
    <t>Name</t>
  </si>
  <si>
    <t>Emp Code</t>
  </si>
  <si>
    <t>Mobile Number</t>
  </si>
  <si>
    <t>Team</t>
  </si>
  <si>
    <t>Department</t>
  </si>
  <si>
    <t>Sales</t>
  </si>
  <si>
    <t>Mukesh</t>
  </si>
  <si>
    <t>ICI</t>
  </si>
  <si>
    <t>Day</t>
  </si>
  <si>
    <t>monkey</t>
  </si>
  <si>
    <t>dog</t>
  </si>
  <si>
    <t>cat</t>
  </si>
  <si>
    <t>bird</t>
  </si>
  <si>
    <t>donky</t>
  </si>
  <si>
    <t>Conditional formatting:</t>
  </si>
  <si>
    <t>Alternate row formatting</t>
  </si>
  <si>
    <t>Only text entries are formatted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</si>
</sst>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Tahoma"/>
      <family val="2"/>
    </font>
    <font>
      <b/>
      <sz val="11"/>
      <name val="Calibri"/>
      <family val="2"/>
      <scheme val="minor"/>
    </font>
    <font>
      <i/>
      <sz val="1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5" tint="0.39997558519241921"/>
        <bgColor indexed="65"/>
      </patternFill>
    </fill>
    <fill>
      <patternFill patternType="solid">
        <fgColor rgb="FF92D050"/>
        <bgColor indexed="64"/>
      </patternFill>
    </fill>
    <fill>
      <patternFill patternType="solid">
        <fgColor rgb="FFF2F2F2"/>
      </patternFill>
    </fill>
    <fill>
      <patternFill patternType="solid">
        <fgColor theme="6" tint="0.59999389629810485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4" fillId="4" borderId="9" applyNumberFormat="0" applyAlignment="0" applyProtection="0"/>
    <xf numFmtId="0" fontId="3" fillId="5" borderId="0" applyNumberFormat="0" applyBorder="0" applyAlignment="0" applyProtection="0"/>
    <xf numFmtId="0" fontId="3" fillId="0" borderId="0"/>
  </cellStyleXfs>
  <cellXfs count="44">
    <xf numFmtId="0" fontId="0" fillId="0" borderId="0" xfId="0"/>
    <xf numFmtId="0" fontId="0" fillId="0" borderId="1" xfId="0" applyBorder="1"/>
    <xf numFmtId="0" fontId="5" fillId="0" borderId="0" xfId="0" applyFont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center"/>
    </xf>
    <xf numFmtId="14" fontId="0" fillId="0" borderId="0" xfId="0" applyNumberFormat="1"/>
    <xf numFmtId="0" fontId="5" fillId="9" borderId="12" xfId="0" applyFont="1" applyFill="1" applyBorder="1"/>
    <xf numFmtId="0" fontId="5" fillId="9" borderId="13" xfId="0" applyFont="1" applyFill="1" applyBorder="1"/>
    <xf numFmtId="0" fontId="0" fillId="10" borderId="14" xfId="0" applyFill="1" applyBorder="1"/>
    <xf numFmtId="0" fontId="0" fillId="0" borderId="15" xfId="0" applyBorder="1"/>
    <xf numFmtId="0" fontId="0" fillId="6" borderId="14" xfId="0" applyFill="1" applyBorder="1"/>
    <xf numFmtId="0" fontId="0" fillId="11" borderId="14" xfId="0" applyFill="1" applyBorder="1"/>
    <xf numFmtId="0" fontId="0" fillId="7" borderId="14" xfId="0" applyFill="1" applyBorder="1"/>
    <xf numFmtId="0" fontId="0" fillId="3" borderId="14" xfId="0" applyFill="1" applyBorder="1"/>
    <xf numFmtId="0" fontId="2" fillId="12" borderId="14" xfId="0" applyFont="1" applyFill="1" applyBorder="1"/>
    <xf numFmtId="0" fontId="0" fillId="13" borderId="14" xfId="0" applyFill="1" applyBorder="1"/>
    <xf numFmtId="0" fontId="0" fillId="8" borderId="14" xfId="0" applyFill="1" applyBorder="1"/>
    <xf numFmtId="0" fontId="0" fillId="14" borderId="16" xfId="0" applyFill="1" applyBorder="1"/>
    <xf numFmtId="0" fontId="0" fillId="0" borderId="17" xfId="0" applyBorder="1"/>
    <xf numFmtId="0" fontId="0" fillId="15" borderId="14" xfId="0" applyFill="1" applyBorder="1"/>
    <xf numFmtId="0" fontId="5" fillId="0" borderId="1" xfId="0" applyFont="1" applyBorder="1"/>
    <xf numFmtId="3" fontId="5" fillId="0" borderId="1" xfId="4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5" borderId="0" xfId="3" applyAlignment="1">
      <alignment horizontal="center" vertical="center"/>
    </xf>
    <xf numFmtId="0" fontId="1" fillId="2" borderId="1" xfId="1" applyFont="1" applyBorder="1" applyAlignment="1">
      <alignment horizontal="center" vertical="center"/>
    </xf>
    <xf numFmtId="0" fontId="0" fillId="0" borderId="2" xfId="0" applyBorder="1" applyAlignment="1">
      <alignment horizont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4" fillId="4" borderId="9" xfId="2" applyAlignment="1">
      <alignment horizontal="center" vertical="center"/>
    </xf>
    <xf numFmtId="0" fontId="0" fillId="0" borderId="0" xfId="0" applyBorder="1" applyAlignment="1">
      <alignment horizontal="center"/>
    </xf>
    <xf numFmtId="0" fontId="7" fillId="0" borderId="0" xfId="0" applyFont="1"/>
    <xf numFmtId="0" fontId="8" fillId="0" borderId="0" xfId="0" applyFont="1"/>
  </cellXfs>
  <cellStyles count="5">
    <cellStyle name="40% - Accent3" xfId="3" builtinId="39"/>
    <cellStyle name="60% - Accent2" xfId="1" builtinId="36"/>
    <cellStyle name="Normal" xfId="0" builtinId="0"/>
    <cellStyle name="Normal 4 2" xfId="4"/>
    <cellStyle name="Output" xfId="2" builtinId="21"/>
  </cellStyles>
  <dxfs count="38">
    <dxf>
      <fill>
        <patternFill>
          <bgColor rgb="FF92D050"/>
        </patternFill>
      </fill>
    </dxf>
    <dxf>
      <fill>
        <patternFill>
          <bgColor theme="0" tint="-0.499984740745262"/>
        </patternFill>
      </fill>
    </dxf>
    <dxf>
      <fill>
        <patternFill>
          <bgColor theme="5" tint="0.39994506668294322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patternFill>
          <bgColor rgb="FFFFC000"/>
        </patternFill>
      </fill>
    </dxf>
    <dxf>
      <font>
        <b/>
        <i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/>
      </font>
      <fill>
        <patternFill>
          <bgColor rgb="FF92D050"/>
        </patternFill>
      </fill>
    </dxf>
    <dxf>
      <font>
        <b/>
        <i/>
        <color theme="0"/>
      </font>
      <fill>
        <patternFill>
          <bgColor rgb="FF00B0F0"/>
        </patternFill>
      </fill>
    </dxf>
    <dxf>
      <font>
        <b val="0"/>
        <i val="0"/>
      </font>
      <fill>
        <patternFill>
          <bgColor theme="6" tint="0.39994506668294322"/>
        </patternFill>
      </fill>
    </dxf>
    <dxf>
      <font>
        <b/>
        <i/>
      </font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ill>
        <patternFill patternType="solid">
          <fgColor auto="1"/>
          <bgColor rgb="FFFFFF00"/>
        </patternFill>
      </fill>
    </dxf>
    <dxf>
      <fill>
        <patternFill>
          <bgColor theme="6" tint="0.39994506668294322"/>
        </patternFill>
      </fill>
    </dxf>
    <dxf>
      <font>
        <b/>
        <i/>
        <color theme="0"/>
      </font>
      <fill>
        <patternFill>
          <bgColor theme="5" tint="0.39994506668294322"/>
        </patternFill>
      </fill>
    </dxf>
    <dxf>
      <font>
        <b/>
        <i/>
        <color theme="0"/>
      </font>
      <fill>
        <patternFill>
          <bgColor rgb="FF00B0F0"/>
        </patternFill>
      </fill>
    </dxf>
    <dxf>
      <font>
        <b/>
        <i/>
        <color theme="0"/>
      </font>
      <fill>
        <patternFill>
          <bgColor rgb="FF0070C0"/>
        </patternFill>
      </fill>
    </dxf>
    <dxf>
      <font>
        <b/>
        <i/>
      </font>
      <fill>
        <patternFill>
          <bgColor theme="9" tint="0.39994506668294322"/>
        </patternFill>
      </fill>
    </dxf>
    <dxf>
      <font>
        <b/>
        <i/>
      </font>
      <fill>
        <patternFill>
          <bgColor rgb="FF92D050"/>
        </patternFill>
      </fill>
    </dxf>
    <dxf>
      <font>
        <b/>
        <i/>
      </font>
      <fill>
        <patternFill>
          <bgColor rgb="FFFFC000"/>
        </patternFill>
      </fill>
    </dxf>
    <dxf>
      <font>
        <b/>
        <i/>
      </font>
      <fill>
        <patternFill>
          <bgColor rgb="FFFFFF00"/>
        </pattern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theme="0"/>
      </font>
      <fill>
        <patternFill patternType="solid">
          <fgColor auto="1"/>
          <bgColor rgb="FFC00000"/>
        </patternFill>
      </fill>
    </dxf>
    <dxf>
      <font>
        <b/>
        <i/>
        <color auto="1"/>
      </font>
      <fill>
        <gradientFill type="path" left="0.5" right="0.5" top="0.5" bottom="0.5">
          <stop position="0">
            <color theme="0"/>
          </stop>
          <stop position="1">
            <color rgb="FFFF0000"/>
          </stop>
        </gradientFill>
      </fill>
    </dxf>
    <dxf>
      <font>
        <b/>
        <i/>
      </font>
      <fill>
        <gradientFill type="path" left="0.5" right="0.5" top="0.5" bottom="0.5">
          <stop position="0">
            <color theme="0"/>
          </stop>
          <stop position="1">
            <color rgb="FF92D050"/>
          </stop>
        </gradientFill>
      </fill>
    </dxf>
    <dxf>
      <fill>
        <patternFill>
          <bgColor rgb="FFFF0000"/>
        </patternFill>
      </fill>
    </dxf>
    <dxf>
      <font>
        <b/>
        <i/>
      </font>
      <fill>
        <patternFill>
          <bgColor rgb="FF92D050"/>
        </patternFill>
      </fill>
    </dxf>
    <dxf>
      <fill>
        <patternFill>
          <bgColor rgb="FF00B0F0"/>
        </patternFill>
      </fill>
    </dxf>
    <dxf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b/>
        <i/>
        <color theme="0"/>
      </font>
      <fill>
        <patternFill>
          <bgColor rgb="FFFF0000"/>
        </patternFill>
      </fill>
    </dxf>
    <dxf>
      <font>
        <b/>
        <i/>
        <color auto="1"/>
      </font>
      <fill>
        <patternFill>
          <bgColor rgb="FF92D050"/>
        </patternFill>
      </fill>
    </dxf>
    <dxf>
      <font>
        <b/>
        <i/>
        <color auto="1"/>
      </font>
      <fill>
        <gradientFill type="path" left="0.5" right="0.5" top="0.5" bottom="0.5">
          <stop position="0">
            <color theme="0"/>
          </stop>
          <stop position="1">
            <color theme="4"/>
          </stop>
        </gradientFill>
      </fill>
    </dxf>
    <dxf>
      <font>
        <b/>
        <i/>
        <color auto="1"/>
      </font>
      <fill>
        <gradientFill type="path" left="0.5" right="0.5" top="0.5" bottom="0.5">
          <stop position="0">
            <color rgb="FF92D050"/>
          </stop>
          <stop position="1">
            <color theme="2" tint="-0.49803155613879818"/>
          </stop>
        </gradientFill>
      </fill>
    </dxf>
    <dxf>
      <font>
        <color theme="1"/>
      </font>
      <fill>
        <gradientFill type="path" left="0.5" right="0.5" top="0.5" bottom="0.5">
          <stop position="0">
            <color rgb="FFFF0000"/>
          </stop>
          <stop position="1">
            <color theme="0"/>
          </stop>
        </gradientFill>
      </fill>
    </dxf>
    <dxf>
      <font>
        <b/>
        <i/>
        <color auto="1"/>
      </font>
      <fill>
        <gradientFill type="path" left="0.5" right="0.5" top="0.5" bottom="0.5">
          <stop position="0">
            <color rgb="FFFFFF00"/>
          </stop>
          <stop position="1">
            <color theme="6"/>
          </stop>
        </gradientFill>
      </fill>
    </dxf>
    <dxf>
      <font>
        <condense val="0"/>
        <extend val="0"/>
        <color rgb="FF006100"/>
      </font>
      <fill>
        <patternFill>
          <bgColor rgb="FFC6EFCE"/>
        </patternFill>
      </fill>
    </dxf>
    <dxf>
      <font>
        <condense val="0"/>
        <extend val="0"/>
        <color rgb="FF9C0006"/>
      </font>
    </dxf>
    <dxf>
      <font>
        <condense val="0"/>
        <extend val="0"/>
        <color rgb="FF9C6500"/>
      </font>
      <fill>
        <patternFill>
          <bgColor rgb="FFFFEB9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checked="Checked" fmlaLink="$D$1" lockText="1" noThreeD="1"/>
</file>

<file path=xl/ctrlProps/ctrlProp2.xml><?xml version="1.0" encoding="utf-8"?>
<formControlPr xmlns="http://schemas.microsoft.com/office/spreadsheetml/2009/9/main" objectType="CheckBox" checked="Checked" fmlaLink="$E$1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</xdr:row>
          <xdr:rowOff>47625</xdr:rowOff>
        </xdr:from>
        <xdr:to>
          <xdr:col>8</xdr:col>
          <xdr:colOff>38100</xdr:colOff>
          <xdr:row>3</xdr:row>
          <xdr:rowOff>142875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Unique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4</xdr:row>
          <xdr:rowOff>47625</xdr:rowOff>
        </xdr:from>
        <xdr:to>
          <xdr:col>8</xdr:col>
          <xdr:colOff>76200</xdr:colOff>
          <xdr:row>5</xdr:row>
          <xdr:rowOff>142875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Check Duplicate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A29"/>
  <sheetViews>
    <sheetView topLeftCell="A4" workbookViewId="0">
      <selection activeCell="F8" sqref="F8"/>
    </sheetView>
  </sheetViews>
  <sheetFormatPr defaultRowHeight="15" x14ac:dyDescent="0.25"/>
  <cols>
    <col min="4" max="4" width="12.42578125" bestFit="1" customWidth="1"/>
    <col min="6" max="6" width="18.28515625" bestFit="1" customWidth="1"/>
    <col min="20" max="20" width="11.140625" bestFit="1" customWidth="1"/>
  </cols>
  <sheetData>
    <row r="1" spans="1:27" x14ac:dyDescent="0.25">
      <c r="A1" t="s">
        <v>0</v>
      </c>
    </row>
    <row r="2" spans="1:27" x14ac:dyDescent="0.25">
      <c r="A2">
        <v>38</v>
      </c>
    </row>
    <row r="3" spans="1:27" x14ac:dyDescent="0.25">
      <c r="A3">
        <v>96</v>
      </c>
    </row>
    <row r="4" spans="1:27" ht="15.75" thickBot="1" x14ac:dyDescent="0.3">
      <c r="A4">
        <v>80</v>
      </c>
    </row>
    <row r="5" spans="1:27" x14ac:dyDescent="0.25">
      <c r="A5">
        <v>9</v>
      </c>
      <c r="D5" s="32" t="s">
        <v>1</v>
      </c>
      <c r="E5" s="32"/>
      <c r="F5" s="32"/>
      <c r="G5" s="32"/>
      <c r="H5" s="32"/>
      <c r="J5" s="32" t="s">
        <v>20</v>
      </c>
      <c r="K5" s="32"/>
      <c r="L5" s="32"/>
      <c r="M5" s="32"/>
      <c r="N5" s="32"/>
      <c r="P5" s="34" t="s">
        <v>23</v>
      </c>
      <c r="Q5" s="35"/>
      <c r="R5" s="36"/>
      <c r="T5" s="40" t="s">
        <v>26</v>
      </c>
      <c r="U5" s="40"/>
      <c r="V5" s="40"/>
      <c r="W5" s="40"/>
      <c r="Y5" s="31" t="s">
        <v>28</v>
      </c>
      <c r="Z5" s="31"/>
      <c r="AA5" s="31"/>
    </row>
    <row r="6" spans="1:27" ht="15.75" thickBot="1" x14ac:dyDescent="0.3">
      <c r="A6">
        <v>65</v>
      </c>
      <c r="D6" s="32"/>
      <c r="E6" s="32"/>
      <c r="F6" s="32"/>
      <c r="G6" s="32"/>
      <c r="H6" s="32"/>
      <c r="J6" s="32"/>
      <c r="K6" s="32"/>
      <c r="L6" s="32"/>
      <c r="M6" s="32"/>
      <c r="N6" s="32"/>
      <c r="P6" s="37"/>
      <c r="Q6" s="38"/>
      <c r="R6" s="39"/>
      <c r="T6" s="40"/>
      <c r="U6" s="40"/>
      <c r="V6" s="40"/>
      <c r="W6" s="40"/>
      <c r="Y6" s="31"/>
      <c r="Z6" s="31"/>
      <c r="AA6" s="31"/>
    </row>
    <row r="7" spans="1:27" x14ac:dyDescent="0.25">
      <c r="A7">
        <v>94</v>
      </c>
      <c r="D7" t="s">
        <v>2</v>
      </c>
      <c r="E7" t="s">
        <v>3</v>
      </c>
      <c r="F7" t="s">
        <v>4</v>
      </c>
      <c r="G7" t="s">
        <v>5</v>
      </c>
      <c r="J7" t="s">
        <v>21</v>
      </c>
      <c r="K7" s="33" t="s">
        <v>22</v>
      </c>
      <c r="L7" s="33"/>
    </row>
    <row r="8" spans="1:27" x14ac:dyDescent="0.25">
      <c r="A8">
        <v>78</v>
      </c>
      <c r="D8">
        <v>44</v>
      </c>
      <c r="E8">
        <v>44</v>
      </c>
      <c r="F8" t="s">
        <v>6</v>
      </c>
      <c r="G8" t="s">
        <v>7</v>
      </c>
      <c r="J8">
        <v>78</v>
      </c>
      <c r="K8">
        <v>2374</v>
      </c>
      <c r="L8" t="b">
        <f>K8&gt;AVERAGE($K$8:$K$22)</f>
        <v>0</v>
      </c>
      <c r="P8">
        <f>J8</f>
        <v>78</v>
      </c>
      <c r="T8" t="s">
        <v>27</v>
      </c>
      <c r="Y8">
        <v>1</v>
      </c>
    </row>
    <row r="9" spans="1:27" x14ac:dyDescent="0.25">
      <c r="A9">
        <v>98</v>
      </c>
      <c r="D9">
        <v>23</v>
      </c>
      <c r="E9">
        <v>23</v>
      </c>
      <c r="F9" t="s">
        <v>8</v>
      </c>
      <c r="G9" t="s">
        <v>9</v>
      </c>
      <c r="J9">
        <v>86</v>
      </c>
      <c r="K9">
        <v>3082</v>
      </c>
      <c r="L9" t="b">
        <f t="shared" ref="L9:L22" si="0">K9&gt;AVERAGE($K$8:$K$22)</f>
        <v>0</v>
      </c>
      <c r="P9">
        <f t="shared" ref="P9:P29" si="1">J9</f>
        <v>86</v>
      </c>
      <c r="T9">
        <v>1</v>
      </c>
      <c r="Y9">
        <v>40</v>
      </c>
    </row>
    <row r="10" spans="1:27" x14ac:dyDescent="0.25">
      <c r="A10">
        <v>16</v>
      </c>
      <c r="D10">
        <v>35</v>
      </c>
      <c r="E10">
        <v>35</v>
      </c>
      <c r="F10" t="s">
        <v>10</v>
      </c>
      <c r="G10" t="s">
        <v>11</v>
      </c>
      <c r="J10">
        <v>100</v>
      </c>
      <c r="K10">
        <v>4567</v>
      </c>
      <c r="L10" t="b">
        <f t="shared" si="0"/>
        <v>1</v>
      </c>
      <c r="P10">
        <f t="shared" si="1"/>
        <v>100</v>
      </c>
      <c r="T10">
        <v>40</v>
      </c>
      <c r="Y10">
        <v>280</v>
      </c>
    </row>
    <row r="11" spans="1:27" x14ac:dyDescent="0.25">
      <c r="A11">
        <v>22</v>
      </c>
      <c r="D11">
        <v>26</v>
      </c>
      <c r="E11">
        <v>26</v>
      </c>
      <c r="F11" t="s">
        <v>12</v>
      </c>
      <c r="G11" t="s">
        <v>7</v>
      </c>
      <c r="J11">
        <v>45</v>
      </c>
      <c r="K11">
        <v>3069</v>
      </c>
      <c r="L11" t="b">
        <f t="shared" si="0"/>
        <v>0</v>
      </c>
      <c r="P11">
        <f t="shared" si="1"/>
        <v>45</v>
      </c>
      <c r="T11">
        <v>280</v>
      </c>
      <c r="Y11">
        <v>1</v>
      </c>
    </row>
    <row r="12" spans="1:27" x14ac:dyDescent="0.25">
      <c r="A12">
        <v>19</v>
      </c>
      <c r="D12">
        <v>30</v>
      </c>
      <c r="E12">
        <v>30</v>
      </c>
      <c r="F12" t="s">
        <v>13</v>
      </c>
      <c r="G12" t="s">
        <v>14</v>
      </c>
      <c r="J12">
        <v>79</v>
      </c>
      <c r="K12">
        <v>2811</v>
      </c>
      <c r="L12" t="b">
        <f t="shared" si="0"/>
        <v>0</v>
      </c>
      <c r="P12">
        <f t="shared" si="1"/>
        <v>79</v>
      </c>
      <c r="T12">
        <v>1</v>
      </c>
      <c r="Y12">
        <v>20</v>
      </c>
    </row>
    <row r="13" spans="1:27" x14ac:dyDescent="0.25">
      <c r="A13">
        <v>37</v>
      </c>
      <c r="D13">
        <v>33</v>
      </c>
      <c r="E13">
        <v>33</v>
      </c>
      <c r="F13" t="s">
        <v>15</v>
      </c>
      <c r="G13" t="s">
        <v>16</v>
      </c>
      <c r="J13">
        <v>69</v>
      </c>
      <c r="K13">
        <v>9870</v>
      </c>
      <c r="L13" t="b">
        <f t="shared" si="0"/>
        <v>1</v>
      </c>
      <c r="P13">
        <f t="shared" si="1"/>
        <v>69</v>
      </c>
      <c r="T13">
        <v>20</v>
      </c>
      <c r="Y13">
        <v>90</v>
      </c>
    </row>
    <row r="14" spans="1:27" x14ac:dyDescent="0.25">
      <c r="A14">
        <v>72</v>
      </c>
      <c r="D14">
        <v>10</v>
      </c>
      <c r="E14">
        <v>27</v>
      </c>
      <c r="F14" t="s">
        <v>17</v>
      </c>
      <c r="G14" t="s">
        <v>18</v>
      </c>
      <c r="J14">
        <v>76</v>
      </c>
      <c r="K14">
        <v>2426</v>
      </c>
      <c r="L14" t="b">
        <f t="shared" si="0"/>
        <v>0</v>
      </c>
      <c r="P14">
        <f t="shared" si="1"/>
        <v>76</v>
      </c>
      <c r="T14">
        <v>90</v>
      </c>
      <c r="Y14">
        <v>156</v>
      </c>
    </row>
    <row r="15" spans="1:27" x14ac:dyDescent="0.25">
      <c r="A15">
        <v>94</v>
      </c>
      <c r="D15">
        <v>50</v>
      </c>
      <c r="E15">
        <v>50</v>
      </c>
      <c r="F15" t="s">
        <v>19</v>
      </c>
      <c r="G15" t="s">
        <v>11</v>
      </c>
      <c r="J15">
        <v>18</v>
      </c>
      <c r="K15">
        <v>2944</v>
      </c>
      <c r="L15" t="b">
        <f t="shared" si="0"/>
        <v>0</v>
      </c>
      <c r="P15">
        <f t="shared" si="1"/>
        <v>18</v>
      </c>
      <c r="T15">
        <v>156</v>
      </c>
      <c r="Y15">
        <v>280</v>
      </c>
    </row>
    <row r="16" spans="1:27" x14ac:dyDescent="0.25">
      <c r="A16">
        <v>64</v>
      </c>
      <c r="D16" t="s">
        <v>24</v>
      </c>
      <c r="E16" t="s">
        <v>25</v>
      </c>
      <c r="J16">
        <v>12</v>
      </c>
      <c r="K16">
        <v>3924</v>
      </c>
      <c r="L16" t="b">
        <f t="shared" si="0"/>
        <v>1</v>
      </c>
      <c r="P16">
        <f t="shared" si="1"/>
        <v>12</v>
      </c>
      <c r="T16">
        <v>280</v>
      </c>
      <c r="Y16">
        <v>100</v>
      </c>
    </row>
    <row r="17" spans="1:25" x14ac:dyDescent="0.25">
      <c r="A17">
        <v>26</v>
      </c>
      <c r="J17">
        <v>13</v>
      </c>
      <c r="K17">
        <v>3792</v>
      </c>
      <c r="L17" t="b">
        <f t="shared" si="0"/>
        <v>1</v>
      </c>
      <c r="P17">
        <f t="shared" si="1"/>
        <v>13</v>
      </c>
      <c r="T17">
        <v>1</v>
      </c>
      <c r="Y17">
        <v>69</v>
      </c>
    </row>
    <row r="18" spans="1:25" x14ac:dyDescent="0.25">
      <c r="A18">
        <v>18</v>
      </c>
      <c r="J18">
        <v>98</v>
      </c>
      <c r="K18">
        <v>2456</v>
      </c>
      <c r="L18" t="b">
        <f t="shared" si="0"/>
        <v>0</v>
      </c>
      <c r="P18">
        <f t="shared" si="1"/>
        <v>98</v>
      </c>
      <c r="T18">
        <v>69</v>
      </c>
      <c r="Y18">
        <v>70</v>
      </c>
    </row>
    <row r="19" spans="1:25" x14ac:dyDescent="0.25">
      <c r="A19">
        <v>59</v>
      </c>
      <c r="J19">
        <v>42</v>
      </c>
      <c r="K19">
        <v>2393</v>
      </c>
      <c r="L19" t="b">
        <f t="shared" si="0"/>
        <v>0</v>
      </c>
      <c r="P19">
        <f t="shared" si="1"/>
        <v>42</v>
      </c>
      <c r="T19">
        <v>70</v>
      </c>
      <c r="Y19">
        <v>190</v>
      </c>
    </row>
    <row r="20" spans="1:25" x14ac:dyDescent="0.25">
      <c r="A20">
        <v>39</v>
      </c>
      <c r="J20">
        <v>8</v>
      </c>
      <c r="K20">
        <v>2587</v>
      </c>
      <c r="L20" t="b">
        <f t="shared" si="0"/>
        <v>0</v>
      </c>
      <c r="P20">
        <f t="shared" si="1"/>
        <v>8</v>
      </c>
      <c r="T20">
        <v>190</v>
      </c>
    </row>
    <row r="21" spans="1:25" x14ac:dyDescent="0.25">
      <c r="A21">
        <v>88</v>
      </c>
      <c r="J21">
        <v>5</v>
      </c>
      <c r="K21">
        <v>3556</v>
      </c>
      <c r="L21" t="b">
        <f t="shared" si="0"/>
        <v>1</v>
      </c>
      <c r="P21">
        <f t="shared" si="1"/>
        <v>5</v>
      </c>
    </row>
    <row r="22" spans="1:25" x14ac:dyDescent="0.25">
      <c r="A22">
        <v>29</v>
      </c>
      <c r="J22">
        <v>45</v>
      </c>
      <c r="K22">
        <v>2534</v>
      </c>
      <c r="L22" t="b">
        <f t="shared" si="0"/>
        <v>0</v>
      </c>
      <c r="P22">
        <f t="shared" si="1"/>
        <v>45</v>
      </c>
    </row>
    <row r="23" spans="1:25" x14ac:dyDescent="0.25">
      <c r="A23">
        <v>58</v>
      </c>
      <c r="J23">
        <v>42</v>
      </c>
      <c r="P23">
        <f t="shared" si="1"/>
        <v>42</v>
      </c>
    </row>
    <row r="24" spans="1:25" x14ac:dyDescent="0.25">
      <c r="A24">
        <v>36</v>
      </c>
      <c r="J24">
        <v>96</v>
      </c>
      <c r="P24">
        <f t="shared" si="1"/>
        <v>96</v>
      </c>
    </row>
    <row r="25" spans="1:25" x14ac:dyDescent="0.25">
      <c r="A25">
        <v>20</v>
      </c>
      <c r="J25">
        <v>23</v>
      </c>
      <c r="P25">
        <f t="shared" si="1"/>
        <v>23</v>
      </c>
    </row>
    <row r="26" spans="1:25" x14ac:dyDescent="0.25">
      <c r="A26">
        <v>6</v>
      </c>
      <c r="J26">
        <v>34</v>
      </c>
      <c r="P26">
        <f t="shared" si="1"/>
        <v>34</v>
      </c>
    </row>
    <row r="27" spans="1:25" x14ac:dyDescent="0.25">
      <c r="J27">
        <v>63</v>
      </c>
      <c r="P27">
        <f t="shared" si="1"/>
        <v>63</v>
      </c>
    </row>
    <row r="28" spans="1:25" x14ac:dyDescent="0.25">
      <c r="J28">
        <v>75</v>
      </c>
      <c r="P28">
        <f t="shared" si="1"/>
        <v>75</v>
      </c>
    </row>
    <row r="29" spans="1:25" x14ac:dyDescent="0.25">
      <c r="J29">
        <v>86</v>
      </c>
      <c r="P29">
        <f t="shared" si="1"/>
        <v>86</v>
      </c>
    </row>
  </sheetData>
  <mergeCells count="6">
    <mergeCell ref="Y5:AA6"/>
    <mergeCell ref="D5:H6"/>
    <mergeCell ref="J5:N6"/>
    <mergeCell ref="K7:L7"/>
    <mergeCell ref="P5:R6"/>
    <mergeCell ref="T5:W6"/>
  </mergeCells>
  <conditionalFormatting sqref="D8:D15">
    <cfRule type="cellIs" dxfId="37" priority="9" operator="greaterThan">
      <formula>30</formula>
    </cfRule>
    <cfRule type="cellIs" dxfId="36" priority="10" operator="greaterThan">
      <formula>30</formula>
    </cfRule>
  </conditionalFormatting>
  <conditionalFormatting sqref="E8:E15">
    <cfRule type="cellIs" dxfId="35" priority="8" operator="between">
      <formula>30</formula>
      <formula>43</formula>
    </cfRule>
  </conditionalFormatting>
  <conditionalFormatting sqref="F8:F15">
    <cfRule type="containsText" dxfId="34" priority="7" operator="containsText" text="Kumar">
      <formula>NOT(ISERROR(SEARCH("Kumar",F8)))</formula>
    </cfRule>
  </conditionalFormatting>
  <conditionalFormatting sqref="G8:G15">
    <cfRule type="duplicateValues" dxfId="33" priority="6"/>
  </conditionalFormatting>
  <conditionalFormatting sqref="J8:J29">
    <cfRule type="top10" dxfId="32" priority="5" rank="5"/>
  </conditionalFormatting>
  <conditionalFormatting sqref="K8:K22">
    <cfRule type="aboveAverage" dxfId="31" priority="4"/>
  </conditionalFormatting>
  <conditionalFormatting sqref="P8:P29">
    <cfRule type="dataBar" priority="3">
      <dataBar showValue="0">
        <cfvo type="min"/>
        <cfvo type="max"/>
        <color rgb="FF638EC6"/>
      </dataBar>
    </cfRule>
  </conditionalFormatting>
  <conditionalFormatting sqref="T9:T20">
    <cfRule type="colorScale" priority="2">
      <colorScale>
        <cfvo type="min"/>
        <cfvo type="percentile" val="50"/>
        <cfvo type="max"/>
        <color rgb="FFF8696B"/>
        <color theme="3" tint="0.59999389629810485"/>
        <color rgb="FF63BE7B"/>
      </colorScale>
    </cfRule>
  </conditionalFormatting>
  <conditionalFormatting sqref="Y8:Y19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20"/>
  <sheetViews>
    <sheetView topLeftCell="B1" workbookViewId="0">
      <selection activeCell="N8" sqref="N8"/>
    </sheetView>
  </sheetViews>
  <sheetFormatPr defaultRowHeight="15" x14ac:dyDescent="0.25"/>
  <cols>
    <col min="1" max="1" width="13.28515625" bestFit="1" customWidth="1"/>
    <col min="14" max="14" width="14.28515625" bestFit="1" customWidth="1"/>
  </cols>
  <sheetData>
    <row r="1" spans="1:15" x14ac:dyDescent="0.25">
      <c r="A1" t="s">
        <v>29</v>
      </c>
      <c r="B1" t="s">
        <v>30</v>
      </c>
      <c r="F1" s="1">
        <v>22</v>
      </c>
      <c r="G1" s="1">
        <v>12</v>
      </c>
      <c r="H1" s="1">
        <v>93</v>
      </c>
      <c r="I1" s="1">
        <v>37</v>
      </c>
      <c r="J1" s="1">
        <v>18</v>
      </c>
      <c r="K1" s="1">
        <v>46</v>
      </c>
      <c r="L1" s="1">
        <v>59</v>
      </c>
    </row>
    <row r="2" spans="1:15" x14ac:dyDescent="0.25">
      <c r="A2" t="s">
        <v>31</v>
      </c>
      <c r="B2">
        <v>25</v>
      </c>
      <c r="C2" t="b">
        <f>MAX(B2:B6)=$B2</f>
        <v>0</v>
      </c>
      <c r="F2" s="1">
        <v>78</v>
      </c>
      <c r="G2" s="1">
        <v>85</v>
      </c>
      <c r="H2" s="1">
        <v>68</v>
      </c>
      <c r="I2" s="1">
        <v>30</v>
      </c>
      <c r="J2" s="1">
        <v>40</v>
      </c>
      <c r="K2" s="1">
        <v>81</v>
      </c>
      <c r="L2" s="1">
        <v>57</v>
      </c>
    </row>
    <row r="3" spans="1:15" x14ac:dyDescent="0.25">
      <c r="A3" t="s">
        <v>32</v>
      </c>
      <c r="B3">
        <v>89</v>
      </c>
      <c r="C3" t="b">
        <f t="shared" ref="C3:C6" si="0">MAX(B3:B7)=$B3</f>
        <v>1</v>
      </c>
      <c r="F3" s="1">
        <v>46</v>
      </c>
      <c r="G3" s="1">
        <v>100</v>
      </c>
      <c r="H3" s="1">
        <v>25</v>
      </c>
      <c r="I3" s="1">
        <v>33</v>
      </c>
      <c r="J3" s="1">
        <v>18</v>
      </c>
      <c r="K3" s="1">
        <v>96</v>
      </c>
      <c r="L3" s="1">
        <v>75</v>
      </c>
    </row>
    <row r="4" spans="1:15" x14ac:dyDescent="0.25">
      <c r="A4" t="s">
        <v>33</v>
      </c>
      <c r="B4">
        <v>19</v>
      </c>
      <c r="C4" t="b">
        <f t="shared" si="0"/>
        <v>0</v>
      </c>
      <c r="F4" s="1">
        <v>86</v>
      </c>
      <c r="G4" s="1">
        <v>9</v>
      </c>
      <c r="H4" s="1">
        <v>26</v>
      </c>
      <c r="I4" s="1">
        <v>14</v>
      </c>
      <c r="J4" s="1">
        <v>20</v>
      </c>
      <c r="K4" s="1">
        <v>89</v>
      </c>
      <c r="L4" s="1">
        <v>59</v>
      </c>
    </row>
    <row r="5" spans="1:15" x14ac:dyDescent="0.25">
      <c r="A5" t="s">
        <v>34</v>
      </c>
      <c r="B5">
        <v>64</v>
      </c>
      <c r="C5" t="b">
        <f t="shared" si="0"/>
        <v>0</v>
      </c>
      <c r="F5" s="1">
        <v>29</v>
      </c>
      <c r="G5" s="1">
        <v>62</v>
      </c>
      <c r="H5" s="1">
        <v>26</v>
      </c>
      <c r="I5" s="1">
        <v>24</v>
      </c>
      <c r="J5" s="1">
        <v>60</v>
      </c>
      <c r="K5" s="1">
        <v>99</v>
      </c>
      <c r="L5" s="1">
        <v>72</v>
      </c>
    </row>
    <row r="6" spans="1:15" x14ac:dyDescent="0.25">
      <c r="A6" t="s">
        <v>35</v>
      </c>
      <c r="B6">
        <v>80</v>
      </c>
      <c r="C6" t="b">
        <f t="shared" si="0"/>
        <v>1</v>
      </c>
      <c r="F6" s="1">
        <v>33</v>
      </c>
      <c r="G6" s="1">
        <v>21</v>
      </c>
      <c r="H6" s="1">
        <v>38</v>
      </c>
      <c r="I6" s="1">
        <v>67</v>
      </c>
      <c r="J6" s="1">
        <v>4</v>
      </c>
      <c r="K6" s="1">
        <v>95</v>
      </c>
      <c r="L6" s="1">
        <v>92</v>
      </c>
      <c r="N6" t="s">
        <v>36</v>
      </c>
      <c r="O6" t="s">
        <v>37</v>
      </c>
    </row>
    <row r="7" spans="1:15" x14ac:dyDescent="0.25">
      <c r="F7" s="1">
        <v>55</v>
      </c>
      <c r="G7" s="1">
        <v>44</v>
      </c>
      <c r="H7" s="1">
        <v>78</v>
      </c>
      <c r="I7" s="1">
        <v>6</v>
      </c>
      <c r="J7" s="1">
        <v>66</v>
      </c>
      <c r="K7" s="1">
        <v>54</v>
      </c>
      <c r="L7" s="1">
        <v>99</v>
      </c>
      <c r="N7" t="s">
        <v>38</v>
      </c>
      <c r="O7" t="s">
        <v>39</v>
      </c>
    </row>
    <row r="8" spans="1:15" x14ac:dyDescent="0.25">
      <c r="F8" s="1">
        <v>46</v>
      </c>
      <c r="G8" s="1">
        <v>57</v>
      </c>
      <c r="H8" s="1">
        <v>58</v>
      </c>
      <c r="I8" s="1">
        <v>11</v>
      </c>
      <c r="J8" s="1">
        <v>36</v>
      </c>
      <c r="K8" s="1">
        <v>80</v>
      </c>
      <c r="L8" s="1">
        <v>5</v>
      </c>
      <c r="N8" t="s">
        <v>40</v>
      </c>
      <c r="O8" t="s">
        <v>41</v>
      </c>
    </row>
    <row r="9" spans="1:15" x14ac:dyDescent="0.25">
      <c r="F9" s="1">
        <v>34</v>
      </c>
      <c r="G9" s="1">
        <v>88</v>
      </c>
      <c r="H9" s="1">
        <v>42</v>
      </c>
      <c r="I9" s="1">
        <v>69</v>
      </c>
      <c r="J9" s="1">
        <v>52</v>
      </c>
      <c r="K9" s="1">
        <v>70</v>
      </c>
      <c r="L9" s="1">
        <v>57</v>
      </c>
      <c r="N9" t="s">
        <v>42</v>
      </c>
      <c r="O9" t="s">
        <v>43</v>
      </c>
    </row>
    <row r="10" spans="1:15" x14ac:dyDescent="0.25">
      <c r="F10" s="1">
        <v>15</v>
      </c>
      <c r="G10" s="1">
        <v>22</v>
      </c>
      <c r="H10" s="1">
        <v>45</v>
      </c>
      <c r="I10" s="1">
        <v>27</v>
      </c>
      <c r="J10" s="1">
        <v>7</v>
      </c>
      <c r="K10" s="1">
        <v>89</v>
      </c>
      <c r="L10" s="1">
        <v>28</v>
      </c>
    </row>
    <row r="11" spans="1:15" x14ac:dyDescent="0.25">
      <c r="F11" s="1">
        <v>71</v>
      </c>
      <c r="G11" s="1">
        <v>91</v>
      </c>
      <c r="H11" s="1">
        <v>13</v>
      </c>
      <c r="I11" s="1">
        <v>85</v>
      </c>
      <c r="J11" s="1">
        <v>21</v>
      </c>
      <c r="K11" s="1">
        <v>84</v>
      </c>
      <c r="L11" s="1">
        <v>82</v>
      </c>
    </row>
    <row r="12" spans="1:15" x14ac:dyDescent="0.25">
      <c r="F12" s="1">
        <v>85</v>
      </c>
      <c r="G12" s="1">
        <v>42</v>
      </c>
      <c r="H12" s="1">
        <v>76</v>
      </c>
      <c r="I12" s="1">
        <v>66</v>
      </c>
      <c r="J12" s="1">
        <v>75</v>
      </c>
      <c r="K12" s="1">
        <v>5</v>
      </c>
      <c r="L12" s="1">
        <v>4</v>
      </c>
    </row>
    <row r="13" spans="1:15" x14ac:dyDescent="0.25">
      <c r="F13" s="1">
        <v>45</v>
      </c>
      <c r="G13" s="1">
        <v>41</v>
      </c>
      <c r="H13" s="1">
        <v>43</v>
      </c>
      <c r="I13" s="1">
        <v>58</v>
      </c>
      <c r="J13" s="1">
        <v>47</v>
      </c>
      <c r="K13" s="1">
        <v>2</v>
      </c>
      <c r="L13" s="1">
        <v>23</v>
      </c>
    </row>
    <row r="14" spans="1:15" x14ac:dyDescent="0.25">
      <c r="F14" s="1">
        <v>29</v>
      </c>
      <c r="G14" s="1">
        <v>36</v>
      </c>
      <c r="H14" s="1">
        <v>52</v>
      </c>
      <c r="I14" s="1">
        <v>15</v>
      </c>
      <c r="J14" s="1">
        <v>27</v>
      </c>
      <c r="K14" s="1">
        <v>39</v>
      </c>
      <c r="L14" s="1">
        <v>39</v>
      </c>
    </row>
    <row r="15" spans="1:15" x14ac:dyDescent="0.25">
      <c r="F15" s="1">
        <v>5</v>
      </c>
      <c r="G15" s="1">
        <v>68</v>
      </c>
      <c r="H15" s="1">
        <v>32</v>
      </c>
      <c r="I15" s="1">
        <v>2</v>
      </c>
      <c r="J15" s="1">
        <v>32</v>
      </c>
      <c r="K15" s="1">
        <v>89</v>
      </c>
      <c r="L15" s="1">
        <v>88</v>
      </c>
    </row>
    <row r="16" spans="1:15" x14ac:dyDescent="0.25">
      <c r="F16" s="1">
        <v>89</v>
      </c>
      <c r="G16" s="1">
        <v>20</v>
      </c>
      <c r="H16" s="1">
        <v>69</v>
      </c>
      <c r="I16" s="1">
        <v>99</v>
      </c>
      <c r="J16" s="1">
        <v>16</v>
      </c>
      <c r="K16" s="1">
        <v>42</v>
      </c>
      <c r="L16" s="1">
        <v>99</v>
      </c>
    </row>
    <row r="17" spans="6:12" x14ac:dyDescent="0.25">
      <c r="F17" s="1">
        <v>6</v>
      </c>
      <c r="G17" s="1">
        <v>55</v>
      </c>
      <c r="H17" s="1">
        <v>20</v>
      </c>
      <c r="I17" s="1">
        <v>49</v>
      </c>
      <c r="J17" s="1">
        <v>78</v>
      </c>
      <c r="K17" s="1">
        <v>13</v>
      </c>
      <c r="L17" s="1">
        <v>69</v>
      </c>
    </row>
    <row r="18" spans="6:12" x14ac:dyDescent="0.25">
      <c r="F18" s="1">
        <v>46</v>
      </c>
      <c r="G18" s="1">
        <v>48</v>
      </c>
      <c r="H18" s="1">
        <v>38</v>
      </c>
      <c r="I18" s="1">
        <v>7</v>
      </c>
      <c r="J18" s="1">
        <v>60</v>
      </c>
      <c r="K18" s="1">
        <v>80</v>
      </c>
      <c r="L18" s="1">
        <v>54</v>
      </c>
    </row>
    <row r="19" spans="6:12" x14ac:dyDescent="0.25">
      <c r="F19" s="1">
        <v>83</v>
      </c>
      <c r="G19" s="1">
        <v>56</v>
      </c>
      <c r="H19" s="1">
        <v>80</v>
      </c>
      <c r="I19" s="1">
        <v>43</v>
      </c>
      <c r="J19" s="1">
        <v>63</v>
      </c>
      <c r="K19" s="1">
        <v>90</v>
      </c>
      <c r="L19" s="1">
        <v>98</v>
      </c>
    </row>
    <row r="20" spans="6:12" x14ac:dyDescent="0.25">
      <c r="F20" s="1">
        <v>64</v>
      </c>
      <c r="G20" s="1">
        <v>40</v>
      </c>
      <c r="H20" s="1">
        <v>62</v>
      </c>
      <c r="I20" s="1">
        <v>53</v>
      </c>
      <c r="J20" s="1">
        <v>99</v>
      </c>
      <c r="K20" s="1">
        <v>63</v>
      </c>
      <c r="L20" s="1">
        <v>73</v>
      </c>
    </row>
  </sheetData>
  <conditionalFormatting sqref="B2:B6">
    <cfRule type="expression" dxfId="30" priority="5">
      <formula>MAX($B$2:$B$6)=$B2</formula>
    </cfRule>
    <cfRule type="expression" dxfId="29" priority="6">
      <formula>MIN($B$2:$B$6)=$B2</formula>
    </cfRule>
  </conditionalFormatting>
  <conditionalFormatting sqref="F1:L20">
    <cfRule type="expression" dxfId="28" priority="1">
      <formula>AND(F1&gt;60,F1&lt;=100)</formula>
    </cfRule>
    <cfRule type="expression" dxfId="27" priority="2">
      <formula>AND(F1&gt;45,F1&lt;=60)</formula>
    </cfRule>
    <cfRule type="expression" dxfId="26" priority="3">
      <formula>AND(F1&gt;=33,F1&lt;=45)</formula>
    </cfRule>
    <cfRule type="expression" dxfId="25" priority="4">
      <formula>F1&lt;33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12"/>
  <sheetViews>
    <sheetView workbookViewId="0">
      <selection activeCell="D7" sqref="D7"/>
    </sheetView>
  </sheetViews>
  <sheetFormatPr defaultRowHeight="15" x14ac:dyDescent="0.25"/>
  <sheetData>
    <row r="1" spans="1:2" x14ac:dyDescent="0.25">
      <c r="A1" t="s">
        <v>44</v>
      </c>
      <c r="B1" t="s">
        <v>45</v>
      </c>
    </row>
    <row r="2" spans="1:2" x14ac:dyDescent="0.25">
      <c r="A2">
        <v>10</v>
      </c>
      <c r="B2" t="str">
        <f>IF(A2&gt;0,"P","Q")</f>
        <v>P</v>
      </c>
    </row>
    <row r="3" spans="1:2" x14ac:dyDescent="0.25">
      <c r="A3">
        <v>-16</v>
      </c>
      <c r="B3" t="str">
        <f t="shared" ref="B3:B12" si="0">IF(A3&gt;0,"P","Q")</f>
        <v>Q</v>
      </c>
    </row>
    <row r="4" spans="1:2" x14ac:dyDescent="0.25">
      <c r="A4">
        <v>23</v>
      </c>
      <c r="B4" t="str">
        <f t="shared" si="0"/>
        <v>P</v>
      </c>
    </row>
    <row r="5" spans="1:2" x14ac:dyDescent="0.25">
      <c r="A5">
        <v>32</v>
      </c>
      <c r="B5" t="str">
        <f t="shared" si="0"/>
        <v>P</v>
      </c>
    </row>
    <row r="6" spans="1:2" x14ac:dyDescent="0.25">
      <c r="A6">
        <v>-19</v>
      </c>
      <c r="B6" t="str">
        <f t="shared" si="0"/>
        <v>Q</v>
      </c>
    </row>
    <row r="7" spans="1:2" x14ac:dyDescent="0.25">
      <c r="A7">
        <v>34</v>
      </c>
      <c r="B7" t="str">
        <f t="shared" si="0"/>
        <v>P</v>
      </c>
    </row>
    <row r="8" spans="1:2" x14ac:dyDescent="0.25">
      <c r="A8">
        <v>-18</v>
      </c>
      <c r="B8" t="str">
        <f t="shared" si="0"/>
        <v>Q</v>
      </c>
    </row>
    <row r="9" spans="1:2" x14ac:dyDescent="0.25">
      <c r="A9">
        <v>63</v>
      </c>
      <c r="B9" t="str">
        <f t="shared" si="0"/>
        <v>P</v>
      </c>
    </row>
    <row r="10" spans="1:2" x14ac:dyDescent="0.25">
      <c r="A10">
        <v>-67</v>
      </c>
      <c r="B10" t="str">
        <f t="shared" si="0"/>
        <v>Q</v>
      </c>
    </row>
    <row r="11" spans="1:2" x14ac:dyDescent="0.25">
      <c r="A11">
        <v>34</v>
      </c>
      <c r="B11" t="str">
        <f t="shared" si="0"/>
        <v>P</v>
      </c>
    </row>
    <row r="12" spans="1:2" x14ac:dyDescent="0.25">
      <c r="A12">
        <v>35</v>
      </c>
      <c r="B12" t="str">
        <f t="shared" si="0"/>
        <v>P</v>
      </c>
    </row>
  </sheetData>
  <conditionalFormatting sqref="B2:B12">
    <cfRule type="iconSet" priority="2">
      <iconSet iconSet="3Arrows">
        <cfvo type="percent" val="0"/>
        <cfvo type="percent" val="33"/>
        <cfvo type="percent" val="67"/>
      </iconSet>
    </cfRule>
  </conditionalFormatting>
  <conditionalFormatting sqref="A2:A12">
    <cfRule type="iconSet" priority="1">
      <iconSet iconSet="3Arrows">
        <cfvo type="percent" val="0"/>
        <cfvo type="percent" val="33"/>
        <cfvo type="percent" val="67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D1:J438"/>
  <sheetViews>
    <sheetView workbookViewId="0">
      <selection activeCell="H14" sqref="H14"/>
    </sheetView>
  </sheetViews>
  <sheetFormatPr defaultRowHeight="15" x14ac:dyDescent="0.25"/>
  <cols>
    <col min="8" max="8" width="14.85546875" customWidth="1"/>
  </cols>
  <sheetData>
    <row r="1" spans="4:10" ht="15.75" thickBot="1" x14ac:dyDescent="0.3">
      <c r="D1" t="b">
        <v>1</v>
      </c>
      <c r="E1" t="b">
        <v>1</v>
      </c>
    </row>
    <row r="2" spans="4:10" x14ac:dyDescent="0.25">
      <c r="D2" t="s">
        <v>51</v>
      </c>
      <c r="E2" t="s">
        <v>52</v>
      </c>
      <c r="F2" s="7"/>
      <c r="G2" s="3"/>
      <c r="H2" s="4"/>
      <c r="I2" s="5"/>
      <c r="J2" s="7"/>
    </row>
    <row r="3" spans="4:10" x14ac:dyDescent="0.25">
      <c r="F3" s="7"/>
      <c r="G3" s="6"/>
      <c r="H3" s="41"/>
      <c r="I3" s="8"/>
      <c r="J3" s="7"/>
    </row>
    <row r="4" spans="4:10" x14ac:dyDescent="0.25">
      <c r="F4" s="7"/>
      <c r="G4" s="6"/>
      <c r="H4" s="41"/>
      <c r="I4" s="8"/>
      <c r="J4" s="7"/>
    </row>
    <row r="5" spans="4:10" x14ac:dyDescent="0.25">
      <c r="F5" s="7"/>
      <c r="G5" s="6"/>
      <c r="H5" s="41"/>
      <c r="I5" s="8"/>
      <c r="J5" s="7"/>
    </row>
    <row r="6" spans="4:10" x14ac:dyDescent="0.25">
      <c r="F6" s="7"/>
      <c r="G6" s="6"/>
      <c r="H6" s="41"/>
      <c r="I6" s="8"/>
      <c r="J6" s="7"/>
    </row>
    <row r="7" spans="4:10" ht="15.75" thickBot="1" x14ac:dyDescent="0.3">
      <c r="F7" s="7"/>
      <c r="G7" s="9"/>
      <c r="H7" s="10"/>
      <c r="I7" s="11"/>
      <c r="J7" s="7"/>
    </row>
    <row r="8" spans="4:10" x14ac:dyDescent="0.25">
      <c r="F8" s="7"/>
      <c r="G8" s="7"/>
      <c r="H8" s="7"/>
      <c r="I8" s="7"/>
      <c r="J8" s="7"/>
    </row>
    <row r="9" spans="4:10" x14ac:dyDescent="0.25">
      <c r="F9" s="7"/>
      <c r="G9" s="7"/>
      <c r="H9" s="7"/>
      <c r="I9" s="7"/>
      <c r="J9" s="7"/>
    </row>
    <row r="10" spans="4:10" x14ac:dyDescent="0.25">
      <c r="H10" s="2" t="s">
        <v>46</v>
      </c>
    </row>
    <row r="11" spans="4:10" x14ac:dyDescent="0.25">
      <c r="H11" s="1" t="s">
        <v>47</v>
      </c>
      <c r="J11">
        <f>COUNTIF($H$11:H11,H11)</f>
        <v>1</v>
      </c>
    </row>
    <row r="12" spans="4:10" x14ac:dyDescent="0.25">
      <c r="H12" s="1" t="s">
        <v>47</v>
      </c>
      <c r="J12">
        <f>COUNTIF($H$11:H12,H12)</f>
        <v>2</v>
      </c>
    </row>
    <row r="13" spans="4:10" x14ac:dyDescent="0.25">
      <c r="H13" s="1" t="s">
        <v>48</v>
      </c>
      <c r="J13">
        <f>COUNTIF($H$11:H13,H13)</f>
        <v>1</v>
      </c>
    </row>
    <row r="14" spans="4:10" x14ac:dyDescent="0.25">
      <c r="H14" s="1" t="s">
        <v>47</v>
      </c>
      <c r="J14">
        <f>COUNTIF($H$11:H14,H14)</f>
        <v>3</v>
      </c>
    </row>
    <row r="15" spans="4:10" x14ac:dyDescent="0.25">
      <c r="H15" s="1" t="s">
        <v>47</v>
      </c>
      <c r="J15">
        <f>COUNTIF($H$11:H15,H15)</f>
        <v>4</v>
      </c>
    </row>
    <row r="16" spans="4:10" x14ac:dyDescent="0.25">
      <c r="H16" s="1" t="s">
        <v>49</v>
      </c>
      <c r="J16">
        <f>COUNTIF($H$11:H16,H16)</f>
        <v>1</v>
      </c>
    </row>
    <row r="17" spans="8:10" x14ac:dyDescent="0.25">
      <c r="H17" s="1" t="s">
        <v>47</v>
      </c>
      <c r="J17">
        <f>COUNTIF($H$11:H17,H17)</f>
        <v>5</v>
      </c>
    </row>
    <row r="18" spans="8:10" x14ac:dyDescent="0.25">
      <c r="H18" s="1" t="s">
        <v>48</v>
      </c>
      <c r="J18">
        <f>COUNTIF($H$11:H18,H18)</f>
        <v>2</v>
      </c>
    </row>
    <row r="19" spans="8:10" x14ac:dyDescent="0.25">
      <c r="H19" s="1" t="s">
        <v>48</v>
      </c>
      <c r="J19">
        <f>COUNTIF($H$11:H19,H19)</f>
        <v>3</v>
      </c>
    </row>
    <row r="20" spans="8:10" x14ac:dyDescent="0.25">
      <c r="H20" s="1" t="s">
        <v>49</v>
      </c>
      <c r="J20">
        <f>COUNTIF($H$11:H20,H20)</f>
        <v>2</v>
      </c>
    </row>
    <row r="21" spans="8:10" x14ac:dyDescent="0.25">
      <c r="H21" s="1" t="s">
        <v>47</v>
      </c>
      <c r="J21">
        <f>COUNTIF($H$11:H21,H21)</f>
        <v>6</v>
      </c>
    </row>
    <row r="22" spans="8:10" x14ac:dyDescent="0.25">
      <c r="H22" s="1" t="s">
        <v>50</v>
      </c>
      <c r="J22">
        <f>COUNTIF($H$11:H22,H22)</f>
        <v>1</v>
      </c>
    </row>
    <row r="23" spans="8:10" x14ac:dyDescent="0.25">
      <c r="H23" s="1" t="s">
        <v>47</v>
      </c>
      <c r="J23">
        <f>COUNTIF($H$11:H23,H23)</f>
        <v>7</v>
      </c>
    </row>
    <row r="24" spans="8:10" x14ac:dyDescent="0.25">
      <c r="H24" s="1" t="s">
        <v>48</v>
      </c>
      <c r="J24">
        <f>COUNTIF($H$11:H24,H24)</f>
        <v>4</v>
      </c>
    </row>
    <row r="25" spans="8:10" x14ac:dyDescent="0.25">
      <c r="H25" s="1" t="s">
        <v>50</v>
      </c>
      <c r="J25">
        <f>COUNTIF($H$11:H25,H25)</f>
        <v>2</v>
      </c>
    </row>
    <row r="26" spans="8:10" x14ac:dyDescent="0.25">
      <c r="H26" s="1" t="s">
        <v>50</v>
      </c>
      <c r="J26">
        <f>COUNTIF($H$11:H26,H26)</f>
        <v>3</v>
      </c>
    </row>
    <row r="27" spans="8:10" x14ac:dyDescent="0.25">
      <c r="H27" s="1" t="s">
        <v>47</v>
      </c>
      <c r="J27">
        <f>COUNTIF($H$11:H27,H27)</f>
        <v>8</v>
      </c>
    </row>
    <row r="28" spans="8:10" x14ac:dyDescent="0.25">
      <c r="H28" s="1" t="s">
        <v>50</v>
      </c>
      <c r="J28">
        <f>COUNTIF($H$11:H28,H28)</f>
        <v>4</v>
      </c>
    </row>
    <row r="29" spans="8:10" x14ac:dyDescent="0.25">
      <c r="H29" s="1" t="s">
        <v>50</v>
      </c>
      <c r="J29">
        <f>COUNTIF($H$11:H29,H29)</f>
        <v>5</v>
      </c>
    </row>
    <row r="30" spans="8:10" x14ac:dyDescent="0.25">
      <c r="H30" s="1" t="s">
        <v>50</v>
      </c>
      <c r="J30">
        <f>COUNTIF($H$11:H30,H30)</f>
        <v>6</v>
      </c>
    </row>
    <row r="31" spans="8:10" x14ac:dyDescent="0.25">
      <c r="H31" s="1" t="s">
        <v>50</v>
      </c>
      <c r="J31">
        <f>COUNTIF($H$11:H31,H31)</f>
        <v>7</v>
      </c>
    </row>
    <row r="32" spans="8:10" x14ac:dyDescent="0.25">
      <c r="H32" s="1" t="s">
        <v>48</v>
      </c>
      <c r="J32">
        <f>COUNTIF($H$11:H32,H32)</f>
        <v>5</v>
      </c>
    </row>
    <row r="33" spans="8:10" x14ac:dyDescent="0.25">
      <c r="H33" s="1" t="s">
        <v>49</v>
      </c>
      <c r="J33">
        <f>COUNTIF($H$11:H33,H33)</f>
        <v>3</v>
      </c>
    </row>
    <row r="34" spans="8:10" x14ac:dyDescent="0.25">
      <c r="H34" s="1" t="s">
        <v>50</v>
      </c>
      <c r="J34">
        <f>COUNTIF($H$11:H34,H34)</f>
        <v>8</v>
      </c>
    </row>
    <row r="35" spans="8:10" x14ac:dyDescent="0.25">
      <c r="H35" s="1" t="s">
        <v>47</v>
      </c>
      <c r="J35">
        <f>COUNTIF($H$11:H35,H35)</f>
        <v>9</v>
      </c>
    </row>
    <row r="36" spans="8:10" x14ac:dyDescent="0.25">
      <c r="H36" s="1" t="s">
        <v>50</v>
      </c>
      <c r="J36">
        <f>COUNTIF($H$11:H36,H36)</f>
        <v>9</v>
      </c>
    </row>
    <row r="37" spans="8:10" x14ac:dyDescent="0.25">
      <c r="H37" s="1" t="s">
        <v>48</v>
      </c>
      <c r="J37">
        <f>COUNTIF($H$11:H37,H37)</f>
        <v>6</v>
      </c>
    </row>
    <row r="38" spans="8:10" x14ac:dyDescent="0.25">
      <c r="H38" s="1" t="s">
        <v>48</v>
      </c>
      <c r="J38">
        <f>COUNTIF($H$11:H38,H38)</f>
        <v>7</v>
      </c>
    </row>
    <row r="39" spans="8:10" x14ac:dyDescent="0.25">
      <c r="H39" s="1" t="s">
        <v>49</v>
      </c>
      <c r="J39">
        <f>COUNTIF($H$11:H39,H39)</f>
        <v>4</v>
      </c>
    </row>
    <row r="40" spans="8:10" x14ac:dyDescent="0.25">
      <c r="H40" s="1" t="s">
        <v>47</v>
      </c>
      <c r="J40">
        <f>COUNTIF($H$11:H40,H40)</f>
        <v>10</v>
      </c>
    </row>
    <row r="41" spans="8:10" x14ac:dyDescent="0.25">
      <c r="H41" s="1" t="s">
        <v>48</v>
      </c>
      <c r="J41">
        <f>COUNTIF($H$11:H41,H41)</f>
        <v>8</v>
      </c>
    </row>
    <row r="42" spans="8:10" x14ac:dyDescent="0.25">
      <c r="H42" s="1" t="s">
        <v>47</v>
      </c>
      <c r="J42">
        <f>COUNTIF($H$11:H42,H42)</f>
        <v>11</v>
      </c>
    </row>
    <row r="43" spans="8:10" x14ac:dyDescent="0.25">
      <c r="H43" s="1" t="s">
        <v>47</v>
      </c>
      <c r="J43">
        <f>COUNTIF($H$11:H43,H43)</f>
        <v>12</v>
      </c>
    </row>
    <row r="44" spans="8:10" x14ac:dyDescent="0.25">
      <c r="H44" s="1" t="s">
        <v>50</v>
      </c>
      <c r="J44">
        <f>COUNTIF($H$11:H44,H44)</f>
        <v>10</v>
      </c>
    </row>
    <row r="45" spans="8:10" x14ac:dyDescent="0.25">
      <c r="H45" s="1" t="s">
        <v>50</v>
      </c>
      <c r="J45">
        <f>COUNTIF($H$11:H45,H45)</f>
        <v>11</v>
      </c>
    </row>
    <row r="46" spans="8:10" x14ac:dyDescent="0.25">
      <c r="H46" s="1" t="s">
        <v>48</v>
      </c>
      <c r="J46">
        <f>COUNTIF($H$11:H46,H46)</f>
        <v>9</v>
      </c>
    </row>
    <row r="47" spans="8:10" x14ac:dyDescent="0.25">
      <c r="H47" s="1" t="s">
        <v>50</v>
      </c>
      <c r="J47">
        <f>COUNTIF($H$11:H47,H47)</f>
        <v>12</v>
      </c>
    </row>
    <row r="48" spans="8:10" x14ac:dyDescent="0.25">
      <c r="H48" s="1" t="s">
        <v>48</v>
      </c>
      <c r="J48">
        <f>COUNTIF($H$11:H48,H48)</f>
        <v>10</v>
      </c>
    </row>
    <row r="49" spans="8:10" x14ac:dyDescent="0.25">
      <c r="H49" s="1" t="s">
        <v>48</v>
      </c>
      <c r="J49">
        <f>COUNTIF($H$11:H49,H49)</f>
        <v>11</v>
      </c>
    </row>
    <row r="50" spans="8:10" x14ac:dyDescent="0.25">
      <c r="H50" s="1" t="s">
        <v>49</v>
      </c>
      <c r="J50">
        <f>COUNTIF($H$11:H50,H50)</f>
        <v>5</v>
      </c>
    </row>
    <row r="51" spans="8:10" x14ac:dyDescent="0.25">
      <c r="H51" s="1" t="s">
        <v>47</v>
      </c>
      <c r="J51">
        <f>COUNTIF($H$11:H51,H51)</f>
        <v>13</v>
      </c>
    </row>
    <row r="52" spans="8:10" x14ac:dyDescent="0.25">
      <c r="H52" s="1" t="s">
        <v>50</v>
      </c>
      <c r="J52">
        <f>COUNTIF($H$11:H52,H52)</f>
        <v>13</v>
      </c>
    </row>
    <row r="53" spans="8:10" x14ac:dyDescent="0.25">
      <c r="H53" s="1" t="s">
        <v>48</v>
      </c>
      <c r="J53">
        <f>COUNTIF($H$11:H53,H53)</f>
        <v>12</v>
      </c>
    </row>
    <row r="54" spans="8:10" x14ac:dyDescent="0.25">
      <c r="H54" s="1" t="s">
        <v>47</v>
      </c>
      <c r="J54">
        <f>COUNTIF($H$11:H54,H54)</f>
        <v>14</v>
      </c>
    </row>
    <row r="55" spans="8:10" x14ac:dyDescent="0.25">
      <c r="H55" s="1" t="s">
        <v>50</v>
      </c>
      <c r="J55">
        <f>COUNTIF($H$11:H55,H55)</f>
        <v>14</v>
      </c>
    </row>
    <row r="56" spans="8:10" x14ac:dyDescent="0.25">
      <c r="H56" s="1" t="s">
        <v>50</v>
      </c>
      <c r="J56">
        <f>COUNTIF($H$11:H56,H56)</f>
        <v>15</v>
      </c>
    </row>
    <row r="57" spans="8:10" x14ac:dyDescent="0.25">
      <c r="H57" s="1" t="s">
        <v>49</v>
      </c>
      <c r="J57">
        <f>COUNTIF($H$11:H57,H57)</f>
        <v>6</v>
      </c>
    </row>
    <row r="58" spans="8:10" x14ac:dyDescent="0.25">
      <c r="H58" s="1" t="s">
        <v>48</v>
      </c>
      <c r="J58">
        <f>COUNTIF($H$11:H58,H58)</f>
        <v>13</v>
      </c>
    </row>
    <row r="59" spans="8:10" x14ac:dyDescent="0.25">
      <c r="H59" s="1" t="s">
        <v>49</v>
      </c>
      <c r="J59">
        <f>COUNTIF($H$11:H59,H59)</f>
        <v>7</v>
      </c>
    </row>
    <row r="60" spans="8:10" x14ac:dyDescent="0.25">
      <c r="H60" s="1" t="s">
        <v>47</v>
      </c>
      <c r="J60">
        <f>COUNTIF($H$11:H60,H60)</f>
        <v>15</v>
      </c>
    </row>
    <row r="61" spans="8:10" x14ac:dyDescent="0.25">
      <c r="H61" s="1" t="s">
        <v>48</v>
      </c>
      <c r="J61">
        <f>COUNTIF($H$11:H61,H61)</f>
        <v>14</v>
      </c>
    </row>
    <row r="62" spans="8:10" x14ac:dyDescent="0.25">
      <c r="H62" s="1" t="s">
        <v>47</v>
      </c>
      <c r="J62">
        <f>COUNTIF($H$11:H62,H62)</f>
        <v>16</v>
      </c>
    </row>
    <row r="63" spans="8:10" x14ac:dyDescent="0.25">
      <c r="H63" s="1" t="s">
        <v>48</v>
      </c>
      <c r="J63">
        <f>COUNTIF($H$11:H63,H63)</f>
        <v>15</v>
      </c>
    </row>
    <row r="64" spans="8:10" x14ac:dyDescent="0.25">
      <c r="H64" s="1" t="s">
        <v>48</v>
      </c>
      <c r="J64">
        <f>COUNTIF($H$11:H64,H64)</f>
        <v>16</v>
      </c>
    </row>
    <row r="65" spans="8:10" x14ac:dyDescent="0.25">
      <c r="H65" s="1" t="s">
        <v>47</v>
      </c>
      <c r="J65">
        <f>COUNTIF($H$11:H65,H65)</f>
        <v>17</v>
      </c>
    </row>
    <row r="66" spans="8:10" x14ac:dyDescent="0.25">
      <c r="H66" s="1" t="s">
        <v>50</v>
      </c>
      <c r="J66">
        <f>COUNTIF($H$11:H66,H66)</f>
        <v>16</v>
      </c>
    </row>
    <row r="67" spans="8:10" x14ac:dyDescent="0.25">
      <c r="H67" s="1" t="s">
        <v>47</v>
      </c>
      <c r="J67">
        <f>COUNTIF($H$11:H67,H67)</f>
        <v>18</v>
      </c>
    </row>
    <row r="68" spans="8:10" x14ac:dyDescent="0.25">
      <c r="H68" s="1" t="s">
        <v>50</v>
      </c>
      <c r="J68">
        <f>COUNTIF($H$11:H68,H68)</f>
        <v>17</v>
      </c>
    </row>
    <row r="69" spans="8:10" x14ac:dyDescent="0.25">
      <c r="H69" s="1" t="s">
        <v>47</v>
      </c>
      <c r="J69">
        <f>COUNTIF($H$11:H69,H69)</f>
        <v>19</v>
      </c>
    </row>
    <row r="70" spans="8:10" x14ac:dyDescent="0.25">
      <c r="H70" s="1" t="s">
        <v>49</v>
      </c>
      <c r="J70">
        <f>COUNTIF($H$11:H70,H70)</f>
        <v>8</v>
      </c>
    </row>
    <row r="71" spans="8:10" x14ac:dyDescent="0.25">
      <c r="H71" s="1" t="s">
        <v>47</v>
      </c>
      <c r="J71">
        <f>COUNTIF($H$11:H71,H71)</f>
        <v>20</v>
      </c>
    </row>
    <row r="72" spans="8:10" x14ac:dyDescent="0.25">
      <c r="H72" s="1" t="s">
        <v>47</v>
      </c>
      <c r="J72">
        <f>COUNTIF($H$11:H72,H72)</f>
        <v>21</v>
      </c>
    </row>
    <row r="73" spans="8:10" x14ac:dyDescent="0.25">
      <c r="H73" s="1" t="s">
        <v>47</v>
      </c>
      <c r="J73">
        <f>COUNTIF($H$11:H73,H73)</f>
        <v>22</v>
      </c>
    </row>
    <row r="74" spans="8:10" x14ac:dyDescent="0.25">
      <c r="H74" s="1" t="s">
        <v>48</v>
      </c>
      <c r="J74">
        <f>COUNTIF($H$11:H74,H74)</f>
        <v>17</v>
      </c>
    </row>
    <row r="75" spans="8:10" x14ac:dyDescent="0.25">
      <c r="H75" s="1" t="s">
        <v>47</v>
      </c>
      <c r="J75">
        <f>COUNTIF($H$11:H75,H75)</f>
        <v>23</v>
      </c>
    </row>
    <row r="76" spans="8:10" x14ac:dyDescent="0.25">
      <c r="H76" s="1" t="s">
        <v>49</v>
      </c>
      <c r="J76">
        <f>COUNTIF($H$11:H76,H76)</f>
        <v>9</v>
      </c>
    </row>
    <row r="77" spans="8:10" x14ac:dyDescent="0.25">
      <c r="H77" s="1" t="s">
        <v>47</v>
      </c>
      <c r="J77">
        <f>COUNTIF($H$11:H77,H77)</f>
        <v>24</v>
      </c>
    </row>
    <row r="78" spans="8:10" x14ac:dyDescent="0.25">
      <c r="H78" s="1" t="s">
        <v>47</v>
      </c>
      <c r="J78">
        <f>COUNTIF($H$11:H78,H78)</f>
        <v>25</v>
      </c>
    </row>
    <row r="79" spans="8:10" x14ac:dyDescent="0.25">
      <c r="H79" s="1" t="s">
        <v>47</v>
      </c>
      <c r="J79">
        <f>COUNTIF($H$11:H79,H79)</f>
        <v>26</v>
      </c>
    </row>
    <row r="80" spans="8:10" x14ac:dyDescent="0.25">
      <c r="H80" s="1" t="s">
        <v>47</v>
      </c>
      <c r="J80">
        <f>COUNTIF($H$11:H80,H80)</f>
        <v>27</v>
      </c>
    </row>
    <row r="81" spans="8:10" x14ac:dyDescent="0.25">
      <c r="H81" s="1" t="s">
        <v>49</v>
      </c>
      <c r="J81">
        <f>COUNTIF($H$11:H81,H81)</f>
        <v>10</v>
      </c>
    </row>
    <row r="82" spans="8:10" x14ac:dyDescent="0.25">
      <c r="H82" s="1" t="s">
        <v>48</v>
      </c>
      <c r="J82">
        <f>COUNTIF($H$11:H82,H82)</f>
        <v>18</v>
      </c>
    </row>
    <row r="83" spans="8:10" x14ac:dyDescent="0.25">
      <c r="H83" s="1" t="s">
        <v>50</v>
      </c>
      <c r="J83">
        <f>COUNTIF($H$11:H83,H83)</f>
        <v>18</v>
      </c>
    </row>
    <row r="84" spans="8:10" x14ac:dyDescent="0.25">
      <c r="H84" s="1" t="s">
        <v>50</v>
      </c>
      <c r="J84">
        <f>COUNTIF($H$11:H84,H84)</f>
        <v>19</v>
      </c>
    </row>
    <row r="85" spans="8:10" x14ac:dyDescent="0.25">
      <c r="H85" s="1" t="s">
        <v>50</v>
      </c>
      <c r="J85">
        <f>COUNTIF($H$11:H85,H85)</f>
        <v>20</v>
      </c>
    </row>
    <row r="86" spans="8:10" x14ac:dyDescent="0.25">
      <c r="H86" s="1" t="s">
        <v>48</v>
      </c>
      <c r="J86">
        <f>COUNTIF($H$11:H86,H86)</f>
        <v>19</v>
      </c>
    </row>
    <row r="87" spans="8:10" x14ac:dyDescent="0.25">
      <c r="H87" s="1" t="s">
        <v>49</v>
      </c>
      <c r="J87">
        <f>COUNTIF($H$11:H87,H87)</f>
        <v>11</v>
      </c>
    </row>
    <row r="88" spans="8:10" x14ac:dyDescent="0.25">
      <c r="H88" s="1" t="s">
        <v>49</v>
      </c>
      <c r="J88">
        <f>COUNTIF($H$11:H88,H88)</f>
        <v>12</v>
      </c>
    </row>
    <row r="89" spans="8:10" x14ac:dyDescent="0.25">
      <c r="H89" s="1" t="s">
        <v>47</v>
      </c>
      <c r="J89">
        <f>COUNTIF($H$11:H89,H89)</f>
        <v>28</v>
      </c>
    </row>
    <row r="90" spans="8:10" x14ac:dyDescent="0.25">
      <c r="H90" s="1" t="s">
        <v>47</v>
      </c>
      <c r="J90">
        <f>COUNTIF($H$11:H90,H90)</f>
        <v>29</v>
      </c>
    </row>
    <row r="91" spans="8:10" x14ac:dyDescent="0.25">
      <c r="H91" s="1" t="s">
        <v>49</v>
      </c>
      <c r="J91">
        <f>COUNTIF($H$11:H91,H91)</f>
        <v>13</v>
      </c>
    </row>
    <row r="92" spans="8:10" x14ac:dyDescent="0.25">
      <c r="H92" s="1" t="s">
        <v>50</v>
      </c>
      <c r="J92">
        <f>COUNTIF($H$11:H92,H92)</f>
        <v>21</v>
      </c>
    </row>
    <row r="93" spans="8:10" x14ac:dyDescent="0.25">
      <c r="H93" s="1" t="s">
        <v>47</v>
      </c>
      <c r="J93">
        <f>COUNTIF($H$11:H93,H93)</f>
        <v>30</v>
      </c>
    </row>
    <row r="94" spans="8:10" x14ac:dyDescent="0.25">
      <c r="H94" s="1" t="s">
        <v>48</v>
      </c>
      <c r="J94">
        <f>COUNTIF($H$11:H94,H94)</f>
        <v>20</v>
      </c>
    </row>
    <row r="95" spans="8:10" x14ac:dyDescent="0.25">
      <c r="H95" s="1" t="s">
        <v>50</v>
      </c>
      <c r="J95">
        <f>COUNTIF($H$11:H95,H95)</f>
        <v>22</v>
      </c>
    </row>
    <row r="96" spans="8:10" x14ac:dyDescent="0.25">
      <c r="H96" s="1" t="s">
        <v>47</v>
      </c>
      <c r="J96">
        <f>COUNTIF($H$11:H96,H96)</f>
        <v>31</v>
      </c>
    </row>
    <row r="97" spans="8:10" x14ac:dyDescent="0.25">
      <c r="H97" s="1" t="s">
        <v>50</v>
      </c>
      <c r="J97">
        <f>COUNTIF($H$11:H97,H97)</f>
        <v>23</v>
      </c>
    </row>
    <row r="98" spans="8:10" x14ac:dyDescent="0.25">
      <c r="H98" s="1" t="s">
        <v>48</v>
      </c>
      <c r="J98">
        <f>COUNTIF($H$11:H98,H98)</f>
        <v>21</v>
      </c>
    </row>
    <row r="99" spans="8:10" x14ac:dyDescent="0.25">
      <c r="H99" s="1" t="s">
        <v>48</v>
      </c>
      <c r="J99">
        <f>COUNTIF($H$11:H99,H99)</f>
        <v>22</v>
      </c>
    </row>
    <row r="100" spans="8:10" x14ac:dyDescent="0.25">
      <c r="H100" s="1" t="s">
        <v>50</v>
      </c>
      <c r="J100">
        <f>COUNTIF($H$11:H100,H100)</f>
        <v>24</v>
      </c>
    </row>
    <row r="101" spans="8:10" x14ac:dyDescent="0.25">
      <c r="H101" s="1" t="s">
        <v>49</v>
      </c>
      <c r="J101">
        <f>COUNTIF($H$11:H101,H101)</f>
        <v>14</v>
      </c>
    </row>
    <row r="102" spans="8:10" x14ac:dyDescent="0.25">
      <c r="H102" s="1" t="s">
        <v>47</v>
      </c>
      <c r="J102">
        <f>COUNTIF($H$11:H102,H102)</f>
        <v>32</v>
      </c>
    </row>
    <row r="103" spans="8:10" x14ac:dyDescent="0.25">
      <c r="H103" s="1" t="s">
        <v>47</v>
      </c>
      <c r="J103">
        <f>COUNTIF($H$11:H103,H103)</f>
        <v>33</v>
      </c>
    </row>
    <row r="104" spans="8:10" x14ac:dyDescent="0.25">
      <c r="H104" s="1" t="s">
        <v>48</v>
      </c>
      <c r="J104">
        <f>COUNTIF($H$11:H104,H104)</f>
        <v>23</v>
      </c>
    </row>
    <row r="105" spans="8:10" x14ac:dyDescent="0.25">
      <c r="H105" s="1" t="s">
        <v>47</v>
      </c>
      <c r="J105">
        <f>COUNTIF($H$11:H105,H105)</f>
        <v>34</v>
      </c>
    </row>
    <row r="106" spans="8:10" x14ac:dyDescent="0.25">
      <c r="H106" s="1" t="s">
        <v>49</v>
      </c>
      <c r="J106">
        <f>COUNTIF($H$11:H106,H106)</f>
        <v>15</v>
      </c>
    </row>
    <row r="107" spans="8:10" x14ac:dyDescent="0.25">
      <c r="H107" s="1" t="s">
        <v>48</v>
      </c>
      <c r="J107">
        <f>COUNTIF($H$11:H107,H107)</f>
        <v>24</v>
      </c>
    </row>
    <row r="108" spans="8:10" x14ac:dyDescent="0.25">
      <c r="H108" s="1" t="s">
        <v>47</v>
      </c>
      <c r="J108">
        <f>COUNTIF($H$11:H108,H108)</f>
        <v>35</v>
      </c>
    </row>
    <row r="109" spans="8:10" x14ac:dyDescent="0.25">
      <c r="H109" s="1" t="s">
        <v>50</v>
      </c>
      <c r="J109">
        <f>COUNTIF($H$11:H109,H109)</f>
        <v>25</v>
      </c>
    </row>
    <row r="110" spans="8:10" x14ac:dyDescent="0.25">
      <c r="H110" s="1" t="s">
        <v>47</v>
      </c>
      <c r="J110">
        <f>COUNTIF($H$11:H110,H110)</f>
        <v>36</v>
      </c>
    </row>
    <row r="111" spans="8:10" x14ac:dyDescent="0.25">
      <c r="H111" s="1" t="s">
        <v>50</v>
      </c>
      <c r="J111">
        <f>COUNTIF($H$11:H111,H111)</f>
        <v>26</v>
      </c>
    </row>
    <row r="112" spans="8:10" x14ac:dyDescent="0.25">
      <c r="H112" s="1" t="s">
        <v>47</v>
      </c>
      <c r="J112">
        <f>COUNTIF($H$11:H112,H112)</f>
        <v>37</v>
      </c>
    </row>
    <row r="113" spans="8:10" x14ac:dyDescent="0.25">
      <c r="H113" s="1" t="s">
        <v>50</v>
      </c>
      <c r="J113">
        <f>COUNTIF($H$11:H113,H113)</f>
        <v>27</v>
      </c>
    </row>
    <row r="114" spans="8:10" x14ac:dyDescent="0.25">
      <c r="H114" s="1" t="s">
        <v>49</v>
      </c>
      <c r="J114">
        <f>COUNTIF($H$11:H114,H114)</f>
        <v>16</v>
      </c>
    </row>
    <row r="115" spans="8:10" x14ac:dyDescent="0.25">
      <c r="H115" s="1" t="s">
        <v>50</v>
      </c>
      <c r="J115">
        <f>COUNTIF($H$11:H115,H115)</f>
        <v>28</v>
      </c>
    </row>
    <row r="116" spans="8:10" x14ac:dyDescent="0.25">
      <c r="H116" s="1" t="s">
        <v>49</v>
      </c>
      <c r="J116">
        <f>COUNTIF($H$11:H116,H116)</f>
        <v>17</v>
      </c>
    </row>
    <row r="117" spans="8:10" x14ac:dyDescent="0.25">
      <c r="H117" s="1" t="s">
        <v>50</v>
      </c>
      <c r="J117">
        <f>COUNTIF($H$11:H117,H117)</f>
        <v>29</v>
      </c>
    </row>
    <row r="118" spans="8:10" x14ac:dyDescent="0.25">
      <c r="H118" s="1" t="s">
        <v>49</v>
      </c>
      <c r="J118">
        <f>COUNTIF($H$11:H118,H118)</f>
        <v>18</v>
      </c>
    </row>
    <row r="119" spans="8:10" x14ac:dyDescent="0.25">
      <c r="H119" s="1" t="s">
        <v>48</v>
      </c>
      <c r="J119">
        <f>COUNTIF($H$11:H119,H119)</f>
        <v>25</v>
      </c>
    </row>
    <row r="120" spans="8:10" x14ac:dyDescent="0.25">
      <c r="H120" s="1" t="s">
        <v>47</v>
      </c>
      <c r="J120">
        <f>COUNTIF($H$11:H120,H120)</f>
        <v>38</v>
      </c>
    </row>
    <row r="121" spans="8:10" x14ac:dyDescent="0.25">
      <c r="H121" s="1" t="s">
        <v>49</v>
      </c>
      <c r="J121">
        <f>COUNTIF($H$11:H121,H121)</f>
        <v>19</v>
      </c>
    </row>
    <row r="122" spans="8:10" x14ac:dyDescent="0.25">
      <c r="H122" s="1" t="s">
        <v>47</v>
      </c>
      <c r="J122">
        <f>COUNTIF($H$11:H122,H122)</f>
        <v>39</v>
      </c>
    </row>
    <row r="123" spans="8:10" x14ac:dyDescent="0.25">
      <c r="H123" s="1" t="s">
        <v>50</v>
      </c>
      <c r="J123">
        <f>COUNTIF($H$11:H123,H123)</f>
        <v>30</v>
      </c>
    </row>
    <row r="124" spans="8:10" x14ac:dyDescent="0.25">
      <c r="H124" s="1" t="s">
        <v>49</v>
      </c>
      <c r="J124">
        <f>COUNTIF($H$11:H124,H124)</f>
        <v>20</v>
      </c>
    </row>
    <row r="125" spans="8:10" x14ac:dyDescent="0.25">
      <c r="H125" s="1" t="s">
        <v>50</v>
      </c>
      <c r="J125">
        <f>COUNTIF($H$11:H125,H125)</f>
        <v>31</v>
      </c>
    </row>
    <row r="126" spans="8:10" x14ac:dyDescent="0.25">
      <c r="H126" s="1" t="s">
        <v>49</v>
      </c>
      <c r="J126">
        <f>COUNTIF($H$11:H126,H126)</f>
        <v>21</v>
      </c>
    </row>
    <row r="127" spans="8:10" x14ac:dyDescent="0.25">
      <c r="H127" s="1" t="s">
        <v>49</v>
      </c>
      <c r="J127">
        <f>COUNTIF($H$11:H127,H127)</f>
        <v>22</v>
      </c>
    </row>
    <row r="128" spans="8:10" x14ac:dyDescent="0.25">
      <c r="H128" s="1" t="s">
        <v>49</v>
      </c>
      <c r="J128">
        <f>COUNTIF($H$11:H128,H128)</f>
        <v>23</v>
      </c>
    </row>
    <row r="129" spans="8:10" x14ac:dyDescent="0.25">
      <c r="H129" s="1" t="s">
        <v>49</v>
      </c>
      <c r="J129">
        <f>COUNTIF($H$11:H129,H129)</f>
        <v>24</v>
      </c>
    </row>
    <row r="130" spans="8:10" x14ac:dyDescent="0.25">
      <c r="H130" s="1" t="s">
        <v>47</v>
      </c>
      <c r="J130">
        <f>COUNTIF($H$11:H130,H130)</f>
        <v>40</v>
      </c>
    </row>
    <row r="131" spans="8:10" x14ac:dyDescent="0.25">
      <c r="H131" s="1" t="s">
        <v>49</v>
      </c>
      <c r="J131">
        <f>COUNTIF($H$11:H131,H131)</f>
        <v>25</v>
      </c>
    </row>
    <row r="132" spans="8:10" x14ac:dyDescent="0.25">
      <c r="H132" s="1" t="s">
        <v>50</v>
      </c>
      <c r="J132">
        <f>COUNTIF($H$11:H132,H132)</f>
        <v>32</v>
      </c>
    </row>
    <row r="133" spans="8:10" x14ac:dyDescent="0.25">
      <c r="H133" s="1" t="s">
        <v>48</v>
      </c>
      <c r="J133">
        <f>COUNTIF($H$11:H133,H133)</f>
        <v>26</v>
      </c>
    </row>
    <row r="134" spans="8:10" x14ac:dyDescent="0.25">
      <c r="H134" s="1" t="s">
        <v>49</v>
      </c>
      <c r="J134">
        <f>COUNTIF($H$11:H134,H134)</f>
        <v>26</v>
      </c>
    </row>
    <row r="135" spans="8:10" x14ac:dyDescent="0.25">
      <c r="H135" s="1" t="s">
        <v>50</v>
      </c>
      <c r="J135">
        <f>COUNTIF($H$11:H135,H135)</f>
        <v>33</v>
      </c>
    </row>
    <row r="136" spans="8:10" x14ac:dyDescent="0.25">
      <c r="H136" s="1" t="s">
        <v>50</v>
      </c>
      <c r="J136">
        <f>COUNTIF($H$11:H136,H136)</f>
        <v>34</v>
      </c>
    </row>
    <row r="137" spans="8:10" x14ac:dyDescent="0.25">
      <c r="H137" s="1" t="s">
        <v>49</v>
      </c>
      <c r="J137">
        <f>COUNTIF($H$11:H137,H137)</f>
        <v>27</v>
      </c>
    </row>
    <row r="138" spans="8:10" x14ac:dyDescent="0.25">
      <c r="H138" s="1" t="s">
        <v>47</v>
      </c>
      <c r="J138">
        <f>COUNTIF($H$11:H138,H138)</f>
        <v>41</v>
      </c>
    </row>
    <row r="139" spans="8:10" x14ac:dyDescent="0.25">
      <c r="H139" s="1" t="s">
        <v>50</v>
      </c>
      <c r="J139">
        <f>COUNTIF($H$11:H139,H139)</f>
        <v>35</v>
      </c>
    </row>
    <row r="140" spans="8:10" x14ac:dyDescent="0.25">
      <c r="H140" s="1" t="s">
        <v>49</v>
      </c>
      <c r="J140">
        <f>COUNTIF($H$11:H140,H140)</f>
        <v>28</v>
      </c>
    </row>
    <row r="141" spans="8:10" x14ac:dyDescent="0.25">
      <c r="H141" s="1" t="s">
        <v>48</v>
      </c>
      <c r="J141">
        <f>COUNTIF($H$11:H141,H141)</f>
        <v>27</v>
      </c>
    </row>
    <row r="142" spans="8:10" x14ac:dyDescent="0.25">
      <c r="H142" s="1" t="s">
        <v>48</v>
      </c>
      <c r="J142">
        <f>COUNTIF($H$11:H142,H142)</f>
        <v>28</v>
      </c>
    </row>
    <row r="143" spans="8:10" x14ac:dyDescent="0.25">
      <c r="H143" s="1" t="s">
        <v>47</v>
      </c>
      <c r="J143">
        <f>COUNTIF($H$11:H143,H143)</f>
        <v>42</v>
      </c>
    </row>
    <row r="144" spans="8:10" x14ac:dyDescent="0.25">
      <c r="H144" s="1" t="s">
        <v>47</v>
      </c>
      <c r="J144">
        <f>COUNTIF($H$11:H144,H144)</f>
        <v>43</v>
      </c>
    </row>
    <row r="145" spans="8:10" x14ac:dyDescent="0.25">
      <c r="H145" s="1" t="s">
        <v>48</v>
      </c>
      <c r="J145">
        <f>COUNTIF($H$11:H145,H145)</f>
        <v>29</v>
      </c>
    </row>
    <row r="146" spans="8:10" x14ac:dyDescent="0.25">
      <c r="H146" s="1" t="s">
        <v>48</v>
      </c>
      <c r="J146">
        <f>COUNTIF($H$11:H146,H146)</f>
        <v>30</v>
      </c>
    </row>
    <row r="147" spans="8:10" x14ac:dyDescent="0.25">
      <c r="H147" s="1" t="s">
        <v>50</v>
      </c>
      <c r="J147">
        <f>COUNTIF($H$11:H147,H147)</f>
        <v>36</v>
      </c>
    </row>
    <row r="148" spans="8:10" x14ac:dyDescent="0.25">
      <c r="H148" s="1" t="s">
        <v>47</v>
      </c>
      <c r="J148">
        <f>COUNTIF($H$11:H148,H148)</f>
        <v>44</v>
      </c>
    </row>
    <row r="149" spans="8:10" x14ac:dyDescent="0.25">
      <c r="H149" s="1" t="s">
        <v>48</v>
      </c>
      <c r="J149">
        <f>COUNTIF($H$11:H149,H149)</f>
        <v>31</v>
      </c>
    </row>
    <row r="150" spans="8:10" x14ac:dyDescent="0.25">
      <c r="H150" s="1" t="s">
        <v>47</v>
      </c>
      <c r="J150">
        <f>COUNTIF($H$11:H150,H150)</f>
        <v>45</v>
      </c>
    </row>
    <row r="151" spans="8:10" x14ac:dyDescent="0.25">
      <c r="H151" s="1" t="s">
        <v>48</v>
      </c>
      <c r="J151">
        <f>COUNTIF($H$11:H151,H151)</f>
        <v>32</v>
      </c>
    </row>
    <row r="152" spans="8:10" x14ac:dyDescent="0.25">
      <c r="H152" s="1" t="s">
        <v>47</v>
      </c>
      <c r="J152">
        <f>COUNTIF($H$11:H152,H152)</f>
        <v>46</v>
      </c>
    </row>
    <row r="153" spans="8:10" x14ac:dyDescent="0.25">
      <c r="H153" s="1" t="s">
        <v>47</v>
      </c>
      <c r="J153">
        <f>COUNTIF($H$11:H153,H153)</f>
        <v>47</v>
      </c>
    </row>
    <row r="154" spans="8:10" x14ac:dyDescent="0.25">
      <c r="H154" s="1" t="s">
        <v>47</v>
      </c>
      <c r="J154">
        <f>COUNTIF($H$11:H154,H154)</f>
        <v>48</v>
      </c>
    </row>
    <row r="155" spans="8:10" x14ac:dyDescent="0.25">
      <c r="H155" s="1" t="s">
        <v>49</v>
      </c>
      <c r="J155">
        <f>COUNTIF($H$11:H155,H155)</f>
        <v>29</v>
      </c>
    </row>
    <row r="156" spans="8:10" x14ac:dyDescent="0.25">
      <c r="H156" s="1" t="s">
        <v>50</v>
      </c>
      <c r="J156">
        <f>COUNTIF($H$11:H156,H156)</f>
        <v>37</v>
      </c>
    </row>
    <row r="157" spans="8:10" x14ac:dyDescent="0.25">
      <c r="H157" s="1" t="s">
        <v>50</v>
      </c>
      <c r="J157">
        <f>COUNTIF($H$11:H157,H157)</f>
        <v>38</v>
      </c>
    </row>
    <row r="158" spans="8:10" x14ac:dyDescent="0.25">
      <c r="H158" s="1" t="s">
        <v>49</v>
      </c>
      <c r="J158">
        <f>COUNTIF($H$11:H158,H158)</f>
        <v>30</v>
      </c>
    </row>
    <row r="159" spans="8:10" x14ac:dyDescent="0.25">
      <c r="H159" s="1" t="s">
        <v>50</v>
      </c>
      <c r="J159">
        <f>COUNTIF($H$11:H159,H159)</f>
        <v>39</v>
      </c>
    </row>
    <row r="160" spans="8:10" x14ac:dyDescent="0.25">
      <c r="H160" s="1" t="s">
        <v>47</v>
      </c>
      <c r="J160">
        <f>COUNTIF($H$11:H160,H160)</f>
        <v>49</v>
      </c>
    </row>
    <row r="161" spans="8:10" x14ac:dyDescent="0.25">
      <c r="H161" s="1" t="s">
        <v>47</v>
      </c>
      <c r="J161">
        <f>COUNTIF($H$11:H161,H161)</f>
        <v>50</v>
      </c>
    </row>
    <row r="162" spans="8:10" x14ac:dyDescent="0.25">
      <c r="H162" s="1" t="s">
        <v>49</v>
      </c>
      <c r="J162">
        <f>COUNTIF($H$11:H162,H162)</f>
        <v>31</v>
      </c>
    </row>
    <row r="163" spans="8:10" x14ac:dyDescent="0.25">
      <c r="H163" s="1" t="s">
        <v>50</v>
      </c>
      <c r="J163">
        <f>COUNTIF($H$11:H163,H163)</f>
        <v>40</v>
      </c>
    </row>
    <row r="164" spans="8:10" x14ac:dyDescent="0.25">
      <c r="H164" s="1" t="s">
        <v>49</v>
      </c>
      <c r="J164">
        <f>COUNTIF($H$11:H164,H164)</f>
        <v>32</v>
      </c>
    </row>
    <row r="165" spans="8:10" x14ac:dyDescent="0.25">
      <c r="H165" s="1" t="s">
        <v>49</v>
      </c>
      <c r="J165">
        <f>COUNTIF($H$11:H165,H165)</f>
        <v>33</v>
      </c>
    </row>
    <row r="166" spans="8:10" x14ac:dyDescent="0.25">
      <c r="H166" s="1" t="s">
        <v>47</v>
      </c>
      <c r="J166">
        <f>COUNTIF($H$11:H166,H166)</f>
        <v>51</v>
      </c>
    </row>
    <row r="167" spans="8:10" x14ac:dyDescent="0.25">
      <c r="H167" s="1" t="s">
        <v>48</v>
      </c>
      <c r="J167">
        <f>COUNTIF($H$11:H167,H167)</f>
        <v>33</v>
      </c>
    </row>
    <row r="168" spans="8:10" x14ac:dyDescent="0.25">
      <c r="H168" s="1" t="s">
        <v>50</v>
      </c>
      <c r="J168">
        <f>COUNTIF($H$11:H168,H168)</f>
        <v>41</v>
      </c>
    </row>
    <row r="169" spans="8:10" x14ac:dyDescent="0.25">
      <c r="H169" s="1" t="s">
        <v>50</v>
      </c>
      <c r="J169">
        <f>COUNTIF($H$11:H169,H169)</f>
        <v>42</v>
      </c>
    </row>
    <row r="170" spans="8:10" x14ac:dyDescent="0.25">
      <c r="H170" s="1" t="s">
        <v>47</v>
      </c>
      <c r="J170">
        <f>COUNTIF($H$11:H170,H170)</f>
        <v>52</v>
      </c>
    </row>
    <row r="171" spans="8:10" x14ac:dyDescent="0.25">
      <c r="H171" s="1" t="s">
        <v>48</v>
      </c>
      <c r="J171">
        <f>COUNTIF($H$11:H171,H171)</f>
        <v>34</v>
      </c>
    </row>
    <row r="172" spans="8:10" x14ac:dyDescent="0.25">
      <c r="H172" s="1" t="s">
        <v>49</v>
      </c>
      <c r="J172">
        <f>COUNTIF($H$11:H172,H172)</f>
        <v>34</v>
      </c>
    </row>
    <row r="173" spans="8:10" x14ac:dyDescent="0.25">
      <c r="H173" s="1" t="s">
        <v>49</v>
      </c>
      <c r="J173">
        <f>COUNTIF($H$11:H173,H173)</f>
        <v>35</v>
      </c>
    </row>
    <row r="174" spans="8:10" x14ac:dyDescent="0.25">
      <c r="H174" s="1" t="s">
        <v>49</v>
      </c>
      <c r="J174">
        <f>COUNTIF($H$11:H174,H174)</f>
        <v>36</v>
      </c>
    </row>
    <row r="175" spans="8:10" x14ac:dyDescent="0.25">
      <c r="H175" s="1" t="s">
        <v>50</v>
      </c>
      <c r="J175">
        <f>COUNTIF($H$11:H175,H175)</f>
        <v>43</v>
      </c>
    </row>
    <row r="176" spans="8:10" x14ac:dyDescent="0.25">
      <c r="H176" s="1" t="s">
        <v>47</v>
      </c>
      <c r="J176">
        <f>COUNTIF($H$11:H176,H176)</f>
        <v>53</v>
      </c>
    </row>
    <row r="177" spans="8:10" x14ac:dyDescent="0.25">
      <c r="H177" s="1" t="s">
        <v>50</v>
      </c>
      <c r="J177">
        <f>COUNTIF($H$11:H177,H177)</f>
        <v>44</v>
      </c>
    </row>
    <row r="178" spans="8:10" x14ac:dyDescent="0.25">
      <c r="H178" s="1" t="s">
        <v>48</v>
      </c>
      <c r="J178">
        <f>COUNTIF($H$11:H178,H178)</f>
        <v>35</v>
      </c>
    </row>
    <row r="179" spans="8:10" x14ac:dyDescent="0.25">
      <c r="H179" s="1" t="s">
        <v>49</v>
      </c>
      <c r="J179">
        <f>COUNTIF($H$11:H179,H179)</f>
        <v>37</v>
      </c>
    </row>
    <row r="180" spans="8:10" x14ac:dyDescent="0.25">
      <c r="H180" s="1" t="s">
        <v>47</v>
      </c>
      <c r="J180">
        <f>COUNTIF($H$11:H180,H180)</f>
        <v>54</v>
      </c>
    </row>
    <row r="181" spans="8:10" x14ac:dyDescent="0.25">
      <c r="H181" s="1" t="s">
        <v>48</v>
      </c>
      <c r="J181">
        <f>COUNTIF($H$11:H181,H181)</f>
        <v>36</v>
      </c>
    </row>
    <row r="182" spans="8:10" x14ac:dyDescent="0.25">
      <c r="H182" s="1" t="s">
        <v>48</v>
      </c>
      <c r="J182">
        <f>COUNTIF($H$11:H182,H182)</f>
        <v>37</v>
      </c>
    </row>
    <row r="183" spans="8:10" x14ac:dyDescent="0.25">
      <c r="H183" s="1" t="s">
        <v>49</v>
      </c>
      <c r="J183">
        <f>COUNTIF($H$11:H183,H183)</f>
        <v>38</v>
      </c>
    </row>
    <row r="184" spans="8:10" x14ac:dyDescent="0.25">
      <c r="H184" s="1" t="s">
        <v>50</v>
      </c>
      <c r="J184">
        <f>COUNTIF($H$11:H184,H184)</f>
        <v>45</v>
      </c>
    </row>
    <row r="185" spans="8:10" x14ac:dyDescent="0.25">
      <c r="H185" s="1" t="s">
        <v>50</v>
      </c>
      <c r="J185">
        <f>COUNTIF($H$11:H185,H185)</f>
        <v>46</v>
      </c>
    </row>
    <row r="186" spans="8:10" x14ac:dyDescent="0.25">
      <c r="H186" s="1" t="s">
        <v>49</v>
      </c>
      <c r="J186">
        <f>COUNTIF($H$11:H186,H186)</f>
        <v>39</v>
      </c>
    </row>
    <row r="187" spans="8:10" x14ac:dyDescent="0.25">
      <c r="H187" s="1" t="s">
        <v>48</v>
      </c>
      <c r="J187">
        <f>COUNTIF($H$11:H187,H187)</f>
        <v>38</v>
      </c>
    </row>
    <row r="188" spans="8:10" x14ac:dyDescent="0.25">
      <c r="H188" s="1" t="s">
        <v>47</v>
      </c>
      <c r="J188">
        <f>COUNTIF($H$11:H188,H188)</f>
        <v>55</v>
      </c>
    </row>
    <row r="189" spans="8:10" x14ac:dyDescent="0.25">
      <c r="H189" s="1" t="s">
        <v>48</v>
      </c>
      <c r="J189">
        <f>COUNTIF($H$11:H189,H189)</f>
        <v>39</v>
      </c>
    </row>
    <row r="190" spans="8:10" x14ac:dyDescent="0.25">
      <c r="H190" s="1" t="s">
        <v>48</v>
      </c>
      <c r="J190">
        <f>COUNTIF($H$11:H190,H190)</f>
        <v>40</v>
      </c>
    </row>
    <row r="191" spans="8:10" x14ac:dyDescent="0.25">
      <c r="H191" s="1" t="s">
        <v>47</v>
      </c>
      <c r="J191">
        <f>COUNTIF($H$11:H191,H191)</f>
        <v>56</v>
      </c>
    </row>
    <row r="192" spans="8:10" x14ac:dyDescent="0.25">
      <c r="H192" s="1" t="s">
        <v>47</v>
      </c>
      <c r="J192">
        <f>COUNTIF($H$11:H192,H192)</f>
        <v>57</v>
      </c>
    </row>
    <row r="193" spans="8:10" x14ac:dyDescent="0.25">
      <c r="H193" s="1" t="s">
        <v>47</v>
      </c>
      <c r="J193">
        <f>COUNTIF($H$11:H193,H193)</f>
        <v>58</v>
      </c>
    </row>
    <row r="194" spans="8:10" x14ac:dyDescent="0.25">
      <c r="H194" s="1" t="s">
        <v>50</v>
      </c>
      <c r="J194">
        <f>COUNTIF($H$11:H194,H194)</f>
        <v>47</v>
      </c>
    </row>
    <row r="195" spans="8:10" x14ac:dyDescent="0.25">
      <c r="H195" s="1" t="s">
        <v>49</v>
      </c>
      <c r="J195">
        <f>COUNTIF($H$11:H195,H195)</f>
        <v>40</v>
      </c>
    </row>
    <row r="196" spans="8:10" x14ac:dyDescent="0.25">
      <c r="H196" s="1" t="s">
        <v>48</v>
      </c>
      <c r="J196">
        <f>COUNTIF($H$11:H196,H196)</f>
        <v>41</v>
      </c>
    </row>
    <row r="197" spans="8:10" x14ac:dyDescent="0.25">
      <c r="H197" s="1" t="s">
        <v>49</v>
      </c>
      <c r="J197">
        <f>COUNTIF($H$11:H197,H197)</f>
        <v>41</v>
      </c>
    </row>
    <row r="198" spans="8:10" x14ac:dyDescent="0.25">
      <c r="H198" s="1" t="s">
        <v>50</v>
      </c>
      <c r="J198">
        <f>COUNTIF($H$11:H198,H198)</f>
        <v>48</v>
      </c>
    </row>
    <row r="199" spans="8:10" x14ac:dyDescent="0.25">
      <c r="H199" s="1" t="s">
        <v>50</v>
      </c>
      <c r="J199">
        <f>COUNTIF($H$11:H199,H199)</f>
        <v>49</v>
      </c>
    </row>
    <row r="200" spans="8:10" x14ac:dyDescent="0.25">
      <c r="H200" s="1" t="s">
        <v>50</v>
      </c>
      <c r="J200">
        <f>COUNTIF($H$11:H200,H200)</f>
        <v>50</v>
      </c>
    </row>
    <row r="201" spans="8:10" x14ac:dyDescent="0.25">
      <c r="H201" s="1" t="s">
        <v>47</v>
      </c>
      <c r="J201">
        <f>COUNTIF($H$11:H201,H201)</f>
        <v>59</v>
      </c>
    </row>
    <row r="202" spans="8:10" x14ac:dyDescent="0.25">
      <c r="H202" s="1" t="s">
        <v>50</v>
      </c>
      <c r="J202">
        <f>COUNTIF($H$11:H202,H202)</f>
        <v>51</v>
      </c>
    </row>
    <row r="203" spans="8:10" x14ac:dyDescent="0.25">
      <c r="H203" s="1" t="s">
        <v>47</v>
      </c>
      <c r="J203">
        <f>COUNTIF($H$11:H203,H203)</f>
        <v>60</v>
      </c>
    </row>
    <row r="204" spans="8:10" x14ac:dyDescent="0.25">
      <c r="H204" s="1" t="s">
        <v>50</v>
      </c>
      <c r="J204">
        <f>COUNTIF($H$11:H204,H204)</f>
        <v>52</v>
      </c>
    </row>
    <row r="205" spans="8:10" x14ac:dyDescent="0.25">
      <c r="H205" s="1" t="s">
        <v>49</v>
      </c>
      <c r="J205">
        <f>COUNTIF($H$11:H205,H205)</f>
        <v>42</v>
      </c>
    </row>
    <row r="206" spans="8:10" x14ac:dyDescent="0.25">
      <c r="H206" s="1" t="s">
        <v>49</v>
      </c>
      <c r="J206">
        <f>COUNTIF($H$11:H206,H206)</f>
        <v>43</v>
      </c>
    </row>
    <row r="207" spans="8:10" x14ac:dyDescent="0.25">
      <c r="H207" s="1" t="s">
        <v>48</v>
      </c>
      <c r="J207">
        <f>COUNTIF($H$11:H207,H207)</f>
        <v>42</v>
      </c>
    </row>
    <row r="208" spans="8:10" x14ac:dyDescent="0.25">
      <c r="H208" s="1" t="s">
        <v>48</v>
      </c>
      <c r="J208">
        <f>COUNTIF($H$11:H208,H208)</f>
        <v>43</v>
      </c>
    </row>
    <row r="209" spans="8:10" x14ac:dyDescent="0.25">
      <c r="H209" s="1" t="s">
        <v>47</v>
      </c>
      <c r="J209">
        <f>COUNTIF($H$11:H209,H209)</f>
        <v>61</v>
      </c>
    </row>
    <row r="210" spans="8:10" x14ac:dyDescent="0.25">
      <c r="H210" s="1" t="s">
        <v>50</v>
      </c>
      <c r="J210">
        <f>COUNTIF($H$11:H210,H210)</f>
        <v>53</v>
      </c>
    </row>
    <row r="211" spans="8:10" x14ac:dyDescent="0.25">
      <c r="H211" s="1" t="s">
        <v>47</v>
      </c>
      <c r="J211">
        <f>COUNTIF($H$11:H211,H211)</f>
        <v>62</v>
      </c>
    </row>
    <row r="212" spans="8:10" x14ac:dyDescent="0.25">
      <c r="H212" s="1" t="s">
        <v>49</v>
      </c>
      <c r="J212">
        <f>COUNTIF($H$11:H212,H212)</f>
        <v>44</v>
      </c>
    </row>
    <row r="213" spans="8:10" x14ac:dyDescent="0.25">
      <c r="H213" s="1" t="s">
        <v>50</v>
      </c>
      <c r="J213">
        <f>COUNTIF($H$11:H213,H213)</f>
        <v>54</v>
      </c>
    </row>
    <row r="214" spans="8:10" x14ac:dyDescent="0.25">
      <c r="H214" s="1" t="s">
        <v>50</v>
      </c>
      <c r="J214">
        <f>COUNTIF($H$11:H214,H214)</f>
        <v>55</v>
      </c>
    </row>
    <row r="215" spans="8:10" x14ac:dyDescent="0.25">
      <c r="H215" s="1" t="s">
        <v>47</v>
      </c>
      <c r="J215">
        <f>COUNTIF($H$11:H215,H215)</f>
        <v>63</v>
      </c>
    </row>
    <row r="216" spans="8:10" x14ac:dyDescent="0.25">
      <c r="H216" s="1" t="s">
        <v>49</v>
      </c>
      <c r="J216">
        <f>COUNTIF($H$11:H216,H216)</f>
        <v>45</v>
      </c>
    </row>
    <row r="217" spans="8:10" x14ac:dyDescent="0.25">
      <c r="H217" s="1" t="s">
        <v>47</v>
      </c>
      <c r="J217">
        <f>COUNTIF($H$11:H217,H217)</f>
        <v>64</v>
      </c>
    </row>
    <row r="218" spans="8:10" x14ac:dyDescent="0.25">
      <c r="H218" s="1" t="s">
        <v>48</v>
      </c>
      <c r="J218">
        <f>COUNTIF($H$11:H218,H218)</f>
        <v>44</v>
      </c>
    </row>
    <row r="219" spans="8:10" x14ac:dyDescent="0.25">
      <c r="H219" s="1" t="s">
        <v>48</v>
      </c>
      <c r="J219">
        <f>COUNTIF($H$11:H219,H219)</f>
        <v>45</v>
      </c>
    </row>
    <row r="220" spans="8:10" x14ac:dyDescent="0.25">
      <c r="H220" s="1" t="s">
        <v>48</v>
      </c>
      <c r="J220">
        <f>COUNTIF($H$11:H220,H220)</f>
        <v>46</v>
      </c>
    </row>
    <row r="221" spans="8:10" x14ac:dyDescent="0.25">
      <c r="H221" s="1" t="s">
        <v>48</v>
      </c>
      <c r="J221">
        <f>COUNTIF($H$11:H221,H221)</f>
        <v>47</v>
      </c>
    </row>
    <row r="222" spans="8:10" x14ac:dyDescent="0.25">
      <c r="H222" s="1" t="s">
        <v>47</v>
      </c>
      <c r="J222">
        <f>COUNTIF($H$11:H222,H222)</f>
        <v>65</v>
      </c>
    </row>
    <row r="223" spans="8:10" x14ac:dyDescent="0.25">
      <c r="H223" s="1" t="s">
        <v>50</v>
      </c>
      <c r="J223">
        <f>COUNTIF($H$11:H223,H223)</f>
        <v>56</v>
      </c>
    </row>
    <row r="224" spans="8:10" x14ac:dyDescent="0.25">
      <c r="H224" s="1" t="s">
        <v>47</v>
      </c>
      <c r="J224">
        <f>COUNTIF($H$11:H224,H224)</f>
        <v>66</v>
      </c>
    </row>
    <row r="225" spans="8:10" x14ac:dyDescent="0.25">
      <c r="H225" s="1" t="s">
        <v>49</v>
      </c>
      <c r="J225">
        <f>COUNTIF($H$11:H225,H225)</f>
        <v>46</v>
      </c>
    </row>
    <row r="226" spans="8:10" x14ac:dyDescent="0.25">
      <c r="H226" s="1" t="s">
        <v>50</v>
      </c>
      <c r="J226">
        <f>COUNTIF($H$11:H226,H226)</f>
        <v>57</v>
      </c>
    </row>
    <row r="227" spans="8:10" x14ac:dyDescent="0.25">
      <c r="H227" s="1" t="s">
        <v>48</v>
      </c>
      <c r="J227">
        <f>COUNTIF($H$11:H227,H227)</f>
        <v>48</v>
      </c>
    </row>
    <row r="228" spans="8:10" x14ac:dyDescent="0.25">
      <c r="H228" s="1" t="s">
        <v>49</v>
      </c>
      <c r="J228">
        <f>COUNTIF($H$11:H228,H228)</f>
        <v>47</v>
      </c>
    </row>
    <row r="229" spans="8:10" x14ac:dyDescent="0.25">
      <c r="H229" s="1" t="s">
        <v>49</v>
      </c>
      <c r="J229">
        <f>COUNTIF($H$11:H229,H229)</f>
        <v>48</v>
      </c>
    </row>
    <row r="230" spans="8:10" x14ac:dyDescent="0.25">
      <c r="H230" s="1" t="s">
        <v>49</v>
      </c>
      <c r="J230">
        <f>COUNTIF($H$11:H230,H230)</f>
        <v>49</v>
      </c>
    </row>
    <row r="231" spans="8:10" x14ac:dyDescent="0.25">
      <c r="H231" s="1" t="s">
        <v>47</v>
      </c>
      <c r="J231">
        <f>COUNTIF($H$11:H231,H231)</f>
        <v>67</v>
      </c>
    </row>
    <row r="232" spans="8:10" x14ac:dyDescent="0.25">
      <c r="H232" s="1" t="s">
        <v>47</v>
      </c>
      <c r="J232">
        <f>COUNTIF($H$11:H232,H232)</f>
        <v>68</v>
      </c>
    </row>
    <row r="233" spans="8:10" x14ac:dyDescent="0.25">
      <c r="H233" s="1" t="s">
        <v>49</v>
      </c>
      <c r="J233">
        <f>COUNTIF($H$11:H233,H233)</f>
        <v>50</v>
      </c>
    </row>
    <row r="234" spans="8:10" x14ac:dyDescent="0.25">
      <c r="H234" s="1" t="s">
        <v>50</v>
      </c>
      <c r="J234">
        <f>COUNTIF($H$11:H234,H234)</f>
        <v>58</v>
      </c>
    </row>
    <row r="235" spans="8:10" x14ac:dyDescent="0.25">
      <c r="H235" s="1" t="s">
        <v>50</v>
      </c>
      <c r="J235">
        <f>COUNTIF($H$11:H235,H235)</f>
        <v>59</v>
      </c>
    </row>
    <row r="236" spans="8:10" x14ac:dyDescent="0.25">
      <c r="H236" s="1" t="s">
        <v>49</v>
      </c>
      <c r="J236">
        <f>COUNTIF($H$11:H236,H236)</f>
        <v>51</v>
      </c>
    </row>
    <row r="237" spans="8:10" x14ac:dyDescent="0.25">
      <c r="H237" s="1" t="s">
        <v>49</v>
      </c>
      <c r="J237">
        <f>COUNTIF($H$11:H237,H237)</f>
        <v>52</v>
      </c>
    </row>
    <row r="238" spans="8:10" x14ac:dyDescent="0.25">
      <c r="H238" s="1" t="s">
        <v>47</v>
      </c>
      <c r="J238">
        <f>COUNTIF($H$11:H238,H238)</f>
        <v>69</v>
      </c>
    </row>
    <row r="239" spans="8:10" x14ac:dyDescent="0.25">
      <c r="H239" s="1" t="s">
        <v>47</v>
      </c>
      <c r="J239">
        <f>COUNTIF($H$11:H239,H239)</f>
        <v>70</v>
      </c>
    </row>
    <row r="240" spans="8:10" x14ac:dyDescent="0.25">
      <c r="H240" s="1" t="s">
        <v>49</v>
      </c>
      <c r="J240">
        <f>COUNTIF($H$11:H240,H240)</f>
        <v>53</v>
      </c>
    </row>
    <row r="241" spans="8:10" x14ac:dyDescent="0.25">
      <c r="H241" s="1" t="s">
        <v>50</v>
      </c>
      <c r="J241">
        <f>COUNTIF($H$11:H241,H241)</f>
        <v>60</v>
      </c>
    </row>
    <row r="242" spans="8:10" x14ac:dyDescent="0.25">
      <c r="H242" s="1" t="s">
        <v>47</v>
      </c>
      <c r="J242">
        <f>COUNTIF($H$11:H242,H242)</f>
        <v>71</v>
      </c>
    </row>
    <row r="243" spans="8:10" x14ac:dyDescent="0.25">
      <c r="H243" s="1" t="s">
        <v>50</v>
      </c>
      <c r="J243">
        <f>COUNTIF($H$11:H243,H243)</f>
        <v>61</v>
      </c>
    </row>
    <row r="244" spans="8:10" x14ac:dyDescent="0.25">
      <c r="H244" s="1" t="s">
        <v>50</v>
      </c>
      <c r="J244">
        <f>COUNTIF($H$11:H244,H244)</f>
        <v>62</v>
      </c>
    </row>
    <row r="245" spans="8:10" x14ac:dyDescent="0.25">
      <c r="H245" s="1" t="s">
        <v>47</v>
      </c>
      <c r="J245">
        <f>COUNTIF($H$11:H245,H245)</f>
        <v>72</v>
      </c>
    </row>
    <row r="246" spans="8:10" x14ac:dyDescent="0.25">
      <c r="H246" s="1" t="s">
        <v>49</v>
      </c>
      <c r="J246">
        <f>COUNTIF($H$11:H246,H246)</f>
        <v>54</v>
      </c>
    </row>
    <row r="247" spans="8:10" x14ac:dyDescent="0.25">
      <c r="H247" s="1" t="s">
        <v>50</v>
      </c>
      <c r="J247">
        <f>COUNTIF($H$11:H247,H247)</f>
        <v>63</v>
      </c>
    </row>
    <row r="248" spans="8:10" x14ac:dyDescent="0.25">
      <c r="H248" s="1" t="s">
        <v>49</v>
      </c>
      <c r="J248">
        <f>COUNTIF($H$11:H248,H248)</f>
        <v>55</v>
      </c>
    </row>
    <row r="249" spans="8:10" x14ac:dyDescent="0.25">
      <c r="H249" s="1" t="s">
        <v>47</v>
      </c>
      <c r="J249">
        <f>COUNTIF($H$11:H249,H249)</f>
        <v>73</v>
      </c>
    </row>
    <row r="250" spans="8:10" x14ac:dyDescent="0.25">
      <c r="H250" s="1" t="s">
        <v>48</v>
      </c>
      <c r="J250">
        <f>COUNTIF($H$11:H250,H250)</f>
        <v>49</v>
      </c>
    </row>
    <row r="251" spans="8:10" x14ac:dyDescent="0.25">
      <c r="H251" s="1" t="s">
        <v>47</v>
      </c>
      <c r="J251">
        <f>COUNTIF($H$11:H251,H251)</f>
        <v>74</v>
      </c>
    </row>
    <row r="252" spans="8:10" x14ac:dyDescent="0.25">
      <c r="H252" s="1" t="s">
        <v>48</v>
      </c>
      <c r="J252">
        <f>COUNTIF($H$11:H252,H252)</f>
        <v>50</v>
      </c>
    </row>
    <row r="253" spans="8:10" x14ac:dyDescent="0.25">
      <c r="H253" s="1" t="s">
        <v>49</v>
      </c>
      <c r="J253">
        <f>COUNTIF($H$11:H253,H253)</f>
        <v>56</v>
      </c>
    </row>
    <row r="254" spans="8:10" x14ac:dyDescent="0.25">
      <c r="H254" s="1" t="s">
        <v>48</v>
      </c>
      <c r="J254">
        <f>COUNTIF($H$11:H254,H254)</f>
        <v>51</v>
      </c>
    </row>
    <row r="255" spans="8:10" x14ac:dyDescent="0.25">
      <c r="H255" s="1" t="s">
        <v>48</v>
      </c>
      <c r="J255">
        <f>COUNTIF($H$11:H255,H255)</f>
        <v>52</v>
      </c>
    </row>
    <row r="256" spans="8:10" x14ac:dyDescent="0.25">
      <c r="H256" s="1" t="s">
        <v>48</v>
      </c>
      <c r="J256">
        <f>COUNTIF($H$11:H256,H256)</f>
        <v>53</v>
      </c>
    </row>
    <row r="257" spans="8:10" x14ac:dyDescent="0.25">
      <c r="H257" s="1" t="s">
        <v>47</v>
      </c>
      <c r="J257">
        <f>COUNTIF($H$11:H257,H257)</f>
        <v>75</v>
      </c>
    </row>
    <row r="258" spans="8:10" x14ac:dyDescent="0.25">
      <c r="H258" s="1" t="s">
        <v>49</v>
      </c>
      <c r="J258">
        <f>COUNTIF($H$11:H258,H258)</f>
        <v>57</v>
      </c>
    </row>
    <row r="259" spans="8:10" x14ac:dyDescent="0.25">
      <c r="H259" s="1" t="s">
        <v>48</v>
      </c>
      <c r="J259">
        <f>COUNTIF($H$11:H259,H259)</f>
        <v>54</v>
      </c>
    </row>
    <row r="260" spans="8:10" x14ac:dyDescent="0.25">
      <c r="H260" s="1" t="s">
        <v>49</v>
      </c>
      <c r="J260">
        <f>COUNTIF($H$11:H260,H260)</f>
        <v>58</v>
      </c>
    </row>
    <row r="261" spans="8:10" x14ac:dyDescent="0.25">
      <c r="H261" s="1" t="s">
        <v>50</v>
      </c>
      <c r="J261">
        <f>COUNTIF($H$11:H261,H261)</f>
        <v>64</v>
      </c>
    </row>
    <row r="262" spans="8:10" x14ac:dyDescent="0.25">
      <c r="H262" s="1" t="s">
        <v>50</v>
      </c>
      <c r="J262">
        <f>COUNTIF($H$11:H262,H262)</f>
        <v>65</v>
      </c>
    </row>
    <row r="263" spans="8:10" x14ac:dyDescent="0.25">
      <c r="H263" s="1" t="s">
        <v>50</v>
      </c>
      <c r="J263">
        <f>COUNTIF($H$11:H263,H263)</f>
        <v>66</v>
      </c>
    </row>
    <row r="264" spans="8:10" x14ac:dyDescent="0.25">
      <c r="H264" s="1" t="s">
        <v>50</v>
      </c>
      <c r="J264">
        <f>COUNTIF($H$11:H264,H264)</f>
        <v>67</v>
      </c>
    </row>
    <row r="265" spans="8:10" x14ac:dyDescent="0.25">
      <c r="H265" s="1" t="s">
        <v>50</v>
      </c>
      <c r="J265">
        <f>COUNTIF($H$11:H265,H265)</f>
        <v>68</v>
      </c>
    </row>
    <row r="266" spans="8:10" x14ac:dyDescent="0.25">
      <c r="H266" s="1" t="s">
        <v>47</v>
      </c>
      <c r="J266">
        <f>COUNTIF($H$11:H266,H266)</f>
        <v>76</v>
      </c>
    </row>
    <row r="267" spans="8:10" x14ac:dyDescent="0.25">
      <c r="H267" s="1" t="s">
        <v>49</v>
      </c>
      <c r="J267">
        <f>COUNTIF($H$11:H267,H267)</f>
        <v>59</v>
      </c>
    </row>
    <row r="268" spans="8:10" x14ac:dyDescent="0.25">
      <c r="H268" s="1" t="s">
        <v>48</v>
      </c>
      <c r="J268">
        <f>COUNTIF($H$11:H268,H268)</f>
        <v>55</v>
      </c>
    </row>
    <row r="269" spans="8:10" x14ac:dyDescent="0.25">
      <c r="H269" s="1" t="s">
        <v>50</v>
      </c>
      <c r="J269">
        <f>COUNTIF($H$11:H269,H269)</f>
        <v>69</v>
      </c>
    </row>
    <row r="270" spans="8:10" x14ac:dyDescent="0.25">
      <c r="H270" s="1" t="s">
        <v>50</v>
      </c>
      <c r="J270">
        <f>COUNTIF($H$11:H270,H270)</f>
        <v>70</v>
      </c>
    </row>
    <row r="271" spans="8:10" x14ac:dyDescent="0.25">
      <c r="H271" s="1" t="s">
        <v>50</v>
      </c>
      <c r="J271">
        <f>COUNTIF($H$11:H271,H271)</f>
        <v>71</v>
      </c>
    </row>
    <row r="272" spans="8:10" x14ac:dyDescent="0.25">
      <c r="H272" s="1" t="s">
        <v>47</v>
      </c>
      <c r="J272">
        <f>COUNTIF($H$11:H272,H272)</f>
        <v>77</v>
      </c>
    </row>
    <row r="273" spans="8:10" x14ac:dyDescent="0.25">
      <c r="H273" s="1" t="s">
        <v>48</v>
      </c>
      <c r="J273">
        <f>COUNTIF($H$11:H273,H273)</f>
        <v>56</v>
      </c>
    </row>
    <row r="274" spans="8:10" x14ac:dyDescent="0.25">
      <c r="H274" s="1" t="s">
        <v>48</v>
      </c>
      <c r="J274">
        <f>COUNTIF($H$11:H274,H274)</f>
        <v>57</v>
      </c>
    </row>
    <row r="275" spans="8:10" x14ac:dyDescent="0.25">
      <c r="H275" s="1" t="s">
        <v>49</v>
      </c>
      <c r="J275">
        <f>COUNTIF($H$11:H275,H275)</f>
        <v>60</v>
      </c>
    </row>
    <row r="276" spans="8:10" x14ac:dyDescent="0.25">
      <c r="H276" s="1" t="s">
        <v>49</v>
      </c>
      <c r="J276">
        <f>COUNTIF($H$11:H276,H276)</f>
        <v>61</v>
      </c>
    </row>
    <row r="277" spans="8:10" x14ac:dyDescent="0.25">
      <c r="H277" s="1" t="s">
        <v>49</v>
      </c>
      <c r="J277">
        <f>COUNTIF($H$11:H277,H277)</f>
        <v>62</v>
      </c>
    </row>
    <row r="278" spans="8:10" x14ac:dyDescent="0.25">
      <c r="H278" s="1" t="s">
        <v>47</v>
      </c>
      <c r="J278">
        <f>COUNTIF($H$11:H278,H278)</f>
        <v>78</v>
      </c>
    </row>
    <row r="279" spans="8:10" x14ac:dyDescent="0.25">
      <c r="H279" s="1" t="s">
        <v>50</v>
      </c>
      <c r="J279">
        <f>COUNTIF($H$11:H279,H279)</f>
        <v>72</v>
      </c>
    </row>
    <row r="280" spans="8:10" x14ac:dyDescent="0.25">
      <c r="H280" s="1" t="s">
        <v>47</v>
      </c>
      <c r="J280">
        <f>COUNTIF($H$11:H280,H280)</f>
        <v>79</v>
      </c>
    </row>
    <row r="281" spans="8:10" x14ac:dyDescent="0.25">
      <c r="H281" s="1" t="s">
        <v>49</v>
      </c>
      <c r="J281">
        <f>COUNTIF($H$11:H281,H281)</f>
        <v>63</v>
      </c>
    </row>
    <row r="282" spans="8:10" x14ac:dyDescent="0.25">
      <c r="H282" s="1" t="s">
        <v>47</v>
      </c>
      <c r="J282">
        <f>COUNTIF($H$11:H282,H282)</f>
        <v>80</v>
      </c>
    </row>
    <row r="283" spans="8:10" x14ac:dyDescent="0.25">
      <c r="H283" s="1" t="s">
        <v>48</v>
      </c>
      <c r="J283">
        <f>COUNTIF($H$11:H283,H283)</f>
        <v>58</v>
      </c>
    </row>
    <row r="284" spans="8:10" x14ac:dyDescent="0.25">
      <c r="H284" s="1" t="s">
        <v>47</v>
      </c>
      <c r="J284">
        <f>COUNTIF($H$11:H284,H284)</f>
        <v>81</v>
      </c>
    </row>
    <row r="285" spans="8:10" x14ac:dyDescent="0.25">
      <c r="H285" s="1" t="s">
        <v>50</v>
      </c>
      <c r="J285">
        <f>COUNTIF($H$11:H285,H285)</f>
        <v>73</v>
      </c>
    </row>
    <row r="286" spans="8:10" x14ac:dyDescent="0.25">
      <c r="H286" s="1" t="s">
        <v>47</v>
      </c>
      <c r="J286">
        <f>COUNTIF($H$11:H286,H286)</f>
        <v>82</v>
      </c>
    </row>
    <row r="287" spans="8:10" x14ac:dyDescent="0.25">
      <c r="H287" s="1" t="s">
        <v>50</v>
      </c>
      <c r="J287">
        <f>COUNTIF($H$11:H287,H287)</f>
        <v>74</v>
      </c>
    </row>
    <row r="288" spans="8:10" x14ac:dyDescent="0.25">
      <c r="H288" s="1" t="s">
        <v>48</v>
      </c>
      <c r="J288">
        <f>COUNTIF($H$11:H288,H288)</f>
        <v>59</v>
      </c>
    </row>
    <row r="289" spans="8:10" x14ac:dyDescent="0.25">
      <c r="H289" s="1" t="s">
        <v>48</v>
      </c>
      <c r="J289">
        <f>COUNTIF($H$11:H289,H289)</f>
        <v>60</v>
      </c>
    </row>
    <row r="290" spans="8:10" x14ac:dyDescent="0.25">
      <c r="H290" s="1" t="s">
        <v>49</v>
      </c>
      <c r="J290">
        <f>COUNTIF($H$11:H290,H290)</f>
        <v>64</v>
      </c>
    </row>
    <row r="291" spans="8:10" x14ac:dyDescent="0.25">
      <c r="H291" s="1" t="s">
        <v>48</v>
      </c>
      <c r="J291">
        <f>COUNTIF($H$11:H291,H291)</f>
        <v>61</v>
      </c>
    </row>
    <row r="292" spans="8:10" x14ac:dyDescent="0.25">
      <c r="H292" s="1" t="s">
        <v>47</v>
      </c>
      <c r="J292">
        <f>COUNTIF($H$11:H292,H292)</f>
        <v>83</v>
      </c>
    </row>
    <row r="293" spans="8:10" x14ac:dyDescent="0.25">
      <c r="H293" s="1" t="s">
        <v>47</v>
      </c>
      <c r="J293">
        <f>COUNTIF($H$11:H293,H293)</f>
        <v>84</v>
      </c>
    </row>
    <row r="294" spans="8:10" x14ac:dyDescent="0.25">
      <c r="H294" s="1" t="s">
        <v>49</v>
      </c>
      <c r="J294">
        <f>COUNTIF($H$11:H294,H294)</f>
        <v>65</v>
      </c>
    </row>
    <row r="295" spans="8:10" x14ac:dyDescent="0.25">
      <c r="H295" s="1" t="s">
        <v>50</v>
      </c>
      <c r="J295">
        <f>COUNTIF($H$11:H295,H295)</f>
        <v>75</v>
      </c>
    </row>
    <row r="296" spans="8:10" x14ac:dyDescent="0.25">
      <c r="H296" s="1" t="s">
        <v>48</v>
      </c>
      <c r="J296">
        <f>COUNTIF($H$11:H296,H296)</f>
        <v>62</v>
      </c>
    </row>
    <row r="297" spans="8:10" x14ac:dyDescent="0.25">
      <c r="H297" s="1" t="s">
        <v>49</v>
      </c>
      <c r="J297">
        <f>COUNTIF($H$11:H297,H297)</f>
        <v>66</v>
      </c>
    </row>
    <row r="298" spans="8:10" x14ac:dyDescent="0.25">
      <c r="H298" s="1" t="s">
        <v>49</v>
      </c>
      <c r="J298">
        <f>COUNTIF($H$11:H298,H298)</f>
        <v>67</v>
      </c>
    </row>
    <row r="299" spans="8:10" x14ac:dyDescent="0.25">
      <c r="H299" s="1" t="s">
        <v>50</v>
      </c>
      <c r="J299">
        <f>COUNTIF($H$11:H299,H299)</f>
        <v>76</v>
      </c>
    </row>
    <row r="300" spans="8:10" x14ac:dyDescent="0.25">
      <c r="H300" s="1" t="s">
        <v>47</v>
      </c>
      <c r="J300">
        <f>COUNTIF($H$11:H300,H300)</f>
        <v>85</v>
      </c>
    </row>
    <row r="301" spans="8:10" x14ac:dyDescent="0.25">
      <c r="H301" s="1" t="s">
        <v>49</v>
      </c>
      <c r="J301">
        <f>COUNTIF($H$11:H301,H301)</f>
        <v>68</v>
      </c>
    </row>
    <row r="302" spans="8:10" x14ac:dyDescent="0.25">
      <c r="H302" s="1" t="s">
        <v>48</v>
      </c>
      <c r="J302">
        <f>COUNTIF($H$11:H302,H302)</f>
        <v>63</v>
      </c>
    </row>
    <row r="303" spans="8:10" x14ac:dyDescent="0.25">
      <c r="H303" s="1" t="s">
        <v>48</v>
      </c>
      <c r="J303">
        <f>COUNTIF($H$11:H303,H303)</f>
        <v>64</v>
      </c>
    </row>
    <row r="304" spans="8:10" x14ac:dyDescent="0.25">
      <c r="H304" s="1" t="s">
        <v>48</v>
      </c>
      <c r="J304">
        <f>COUNTIF($H$11:H304,H304)</f>
        <v>65</v>
      </c>
    </row>
    <row r="305" spans="8:10" x14ac:dyDescent="0.25">
      <c r="H305" s="1" t="s">
        <v>48</v>
      </c>
      <c r="J305">
        <f>COUNTIF($H$11:H305,H305)</f>
        <v>66</v>
      </c>
    </row>
    <row r="306" spans="8:10" x14ac:dyDescent="0.25">
      <c r="H306" s="1" t="s">
        <v>47</v>
      </c>
      <c r="J306">
        <f>COUNTIF($H$11:H306,H306)</f>
        <v>86</v>
      </c>
    </row>
    <row r="307" spans="8:10" x14ac:dyDescent="0.25">
      <c r="H307" s="1" t="s">
        <v>47</v>
      </c>
      <c r="J307">
        <f>COUNTIF($H$11:H307,H307)</f>
        <v>87</v>
      </c>
    </row>
    <row r="308" spans="8:10" x14ac:dyDescent="0.25">
      <c r="H308" s="1" t="s">
        <v>50</v>
      </c>
      <c r="J308">
        <f>COUNTIF($H$11:H308,H308)</f>
        <v>77</v>
      </c>
    </row>
    <row r="309" spans="8:10" x14ac:dyDescent="0.25">
      <c r="H309" s="1" t="s">
        <v>50</v>
      </c>
      <c r="J309">
        <f>COUNTIF($H$11:H309,H309)</f>
        <v>78</v>
      </c>
    </row>
    <row r="310" spans="8:10" x14ac:dyDescent="0.25">
      <c r="H310" s="1" t="s">
        <v>50</v>
      </c>
      <c r="J310">
        <f>COUNTIF($H$11:H310,H310)</f>
        <v>79</v>
      </c>
    </row>
    <row r="311" spans="8:10" x14ac:dyDescent="0.25">
      <c r="H311" s="1" t="s">
        <v>49</v>
      </c>
      <c r="J311">
        <f>COUNTIF($H$11:H311,H311)</f>
        <v>69</v>
      </c>
    </row>
    <row r="312" spans="8:10" x14ac:dyDescent="0.25">
      <c r="H312" s="1" t="s">
        <v>48</v>
      </c>
      <c r="J312">
        <f>COUNTIF($H$11:H312,H312)</f>
        <v>67</v>
      </c>
    </row>
    <row r="313" spans="8:10" x14ac:dyDescent="0.25">
      <c r="H313" s="1" t="s">
        <v>49</v>
      </c>
      <c r="J313">
        <f>COUNTIF($H$11:H313,H313)</f>
        <v>70</v>
      </c>
    </row>
    <row r="314" spans="8:10" x14ac:dyDescent="0.25">
      <c r="H314" s="1" t="s">
        <v>47</v>
      </c>
      <c r="J314">
        <f>COUNTIF($H$11:H314,H314)</f>
        <v>88</v>
      </c>
    </row>
    <row r="315" spans="8:10" x14ac:dyDescent="0.25">
      <c r="H315" s="1" t="s">
        <v>49</v>
      </c>
      <c r="J315">
        <f>COUNTIF($H$11:H315,H315)</f>
        <v>71</v>
      </c>
    </row>
    <row r="316" spans="8:10" x14ac:dyDescent="0.25">
      <c r="H316" s="1" t="s">
        <v>50</v>
      </c>
      <c r="J316">
        <f>COUNTIF($H$11:H316,H316)</f>
        <v>80</v>
      </c>
    </row>
    <row r="317" spans="8:10" x14ac:dyDescent="0.25">
      <c r="H317" s="1" t="s">
        <v>49</v>
      </c>
      <c r="J317">
        <f>COUNTIF($H$11:H317,H317)</f>
        <v>72</v>
      </c>
    </row>
    <row r="318" spans="8:10" x14ac:dyDescent="0.25">
      <c r="H318" s="1" t="s">
        <v>50</v>
      </c>
      <c r="J318">
        <f>COUNTIF($H$11:H318,H318)</f>
        <v>81</v>
      </c>
    </row>
    <row r="319" spans="8:10" x14ac:dyDescent="0.25">
      <c r="H319" s="1" t="s">
        <v>49</v>
      </c>
      <c r="J319">
        <f>COUNTIF($H$11:H319,H319)</f>
        <v>73</v>
      </c>
    </row>
    <row r="320" spans="8:10" x14ac:dyDescent="0.25">
      <c r="H320" s="1" t="s">
        <v>47</v>
      </c>
      <c r="J320">
        <f>COUNTIF($H$11:H320,H320)</f>
        <v>89</v>
      </c>
    </row>
    <row r="321" spans="8:10" x14ac:dyDescent="0.25">
      <c r="H321" s="1" t="s">
        <v>47</v>
      </c>
      <c r="J321">
        <f>COUNTIF($H$11:H321,H321)</f>
        <v>90</v>
      </c>
    </row>
    <row r="322" spans="8:10" x14ac:dyDescent="0.25">
      <c r="H322" s="1" t="s">
        <v>49</v>
      </c>
      <c r="J322">
        <f>COUNTIF($H$11:H322,H322)</f>
        <v>74</v>
      </c>
    </row>
    <row r="323" spans="8:10" x14ac:dyDescent="0.25">
      <c r="H323" s="1" t="s">
        <v>48</v>
      </c>
      <c r="J323">
        <f>COUNTIF($H$11:H323,H323)</f>
        <v>68</v>
      </c>
    </row>
    <row r="324" spans="8:10" x14ac:dyDescent="0.25">
      <c r="H324" s="1" t="s">
        <v>48</v>
      </c>
      <c r="J324">
        <f>COUNTIF($H$11:H324,H324)</f>
        <v>69</v>
      </c>
    </row>
    <row r="325" spans="8:10" x14ac:dyDescent="0.25">
      <c r="H325" s="1" t="s">
        <v>48</v>
      </c>
      <c r="J325">
        <f>COUNTIF($H$11:H325,H325)</f>
        <v>70</v>
      </c>
    </row>
    <row r="326" spans="8:10" x14ac:dyDescent="0.25">
      <c r="H326" s="1" t="s">
        <v>48</v>
      </c>
      <c r="J326">
        <f>COUNTIF($H$11:H326,H326)</f>
        <v>71</v>
      </c>
    </row>
    <row r="327" spans="8:10" x14ac:dyDescent="0.25">
      <c r="H327" s="1" t="s">
        <v>49</v>
      </c>
      <c r="J327">
        <f>COUNTIF($H$11:H327,H327)</f>
        <v>75</v>
      </c>
    </row>
    <row r="328" spans="8:10" x14ac:dyDescent="0.25">
      <c r="H328" s="1" t="s">
        <v>49</v>
      </c>
      <c r="J328">
        <f>COUNTIF($H$11:H328,H328)</f>
        <v>76</v>
      </c>
    </row>
    <row r="329" spans="8:10" x14ac:dyDescent="0.25">
      <c r="H329" s="1" t="s">
        <v>49</v>
      </c>
      <c r="J329">
        <f>COUNTIF($H$11:H329,H329)</f>
        <v>77</v>
      </c>
    </row>
    <row r="330" spans="8:10" x14ac:dyDescent="0.25">
      <c r="H330" s="1" t="s">
        <v>47</v>
      </c>
      <c r="J330">
        <f>COUNTIF($H$11:H330,H330)</f>
        <v>91</v>
      </c>
    </row>
    <row r="331" spans="8:10" x14ac:dyDescent="0.25">
      <c r="H331" s="1" t="s">
        <v>49</v>
      </c>
      <c r="J331">
        <f>COUNTIF($H$11:H331,H331)</f>
        <v>78</v>
      </c>
    </row>
    <row r="332" spans="8:10" x14ac:dyDescent="0.25">
      <c r="H332" s="1" t="s">
        <v>47</v>
      </c>
      <c r="J332">
        <f>COUNTIF($H$11:H332,H332)</f>
        <v>92</v>
      </c>
    </row>
    <row r="333" spans="8:10" x14ac:dyDescent="0.25">
      <c r="H333" s="1" t="s">
        <v>49</v>
      </c>
      <c r="J333">
        <f>COUNTIF($H$11:H333,H333)</f>
        <v>79</v>
      </c>
    </row>
    <row r="334" spans="8:10" x14ac:dyDescent="0.25">
      <c r="H334" s="1" t="s">
        <v>49</v>
      </c>
      <c r="J334">
        <f>COUNTIF($H$11:H334,H334)</f>
        <v>80</v>
      </c>
    </row>
    <row r="335" spans="8:10" x14ac:dyDescent="0.25">
      <c r="H335" s="1" t="s">
        <v>48</v>
      </c>
      <c r="J335">
        <f>COUNTIF($H$11:H335,H335)</f>
        <v>72</v>
      </c>
    </row>
    <row r="336" spans="8:10" x14ac:dyDescent="0.25">
      <c r="H336" s="1" t="s">
        <v>48</v>
      </c>
      <c r="J336">
        <f>COUNTIF($H$11:H336,H336)</f>
        <v>73</v>
      </c>
    </row>
    <row r="337" spans="8:10" x14ac:dyDescent="0.25">
      <c r="H337" s="1" t="s">
        <v>48</v>
      </c>
      <c r="J337">
        <f>COUNTIF($H$11:H337,H337)</f>
        <v>74</v>
      </c>
    </row>
    <row r="338" spans="8:10" x14ac:dyDescent="0.25">
      <c r="H338" s="1" t="s">
        <v>48</v>
      </c>
      <c r="J338">
        <f>COUNTIF($H$11:H338,H338)</f>
        <v>75</v>
      </c>
    </row>
    <row r="339" spans="8:10" x14ac:dyDescent="0.25">
      <c r="H339" s="1" t="s">
        <v>50</v>
      </c>
      <c r="J339">
        <f>COUNTIF($H$11:H339,H339)</f>
        <v>82</v>
      </c>
    </row>
    <row r="340" spans="8:10" x14ac:dyDescent="0.25">
      <c r="H340" s="1" t="s">
        <v>50</v>
      </c>
      <c r="J340">
        <f>COUNTIF($H$11:H340,H340)</f>
        <v>83</v>
      </c>
    </row>
    <row r="341" spans="8:10" x14ac:dyDescent="0.25">
      <c r="H341" s="1" t="s">
        <v>47</v>
      </c>
      <c r="J341">
        <f>COUNTIF($H$11:H341,H341)</f>
        <v>93</v>
      </c>
    </row>
    <row r="342" spans="8:10" x14ac:dyDescent="0.25">
      <c r="H342" s="1" t="s">
        <v>48</v>
      </c>
      <c r="J342">
        <f>COUNTIF($H$11:H342,H342)</f>
        <v>76</v>
      </c>
    </row>
    <row r="343" spans="8:10" x14ac:dyDescent="0.25">
      <c r="H343" s="1" t="s">
        <v>47</v>
      </c>
      <c r="J343">
        <f>COUNTIF($H$11:H343,H343)</f>
        <v>94</v>
      </c>
    </row>
    <row r="344" spans="8:10" x14ac:dyDescent="0.25">
      <c r="H344" s="1" t="s">
        <v>49</v>
      </c>
      <c r="J344">
        <f>COUNTIF($H$11:H344,H344)</f>
        <v>81</v>
      </c>
    </row>
    <row r="345" spans="8:10" x14ac:dyDescent="0.25">
      <c r="H345" s="1" t="s">
        <v>49</v>
      </c>
      <c r="J345">
        <f>COUNTIF($H$11:H345,H345)</f>
        <v>82</v>
      </c>
    </row>
    <row r="346" spans="8:10" x14ac:dyDescent="0.25">
      <c r="H346" s="1" t="s">
        <v>48</v>
      </c>
      <c r="J346">
        <f>COUNTIF($H$11:H346,H346)</f>
        <v>77</v>
      </c>
    </row>
    <row r="347" spans="8:10" x14ac:dyDescent="0.25">
      <c r="H347" s="1" t="s">
        <v>50</v>
      </c>
      <c r="J347">
        <f>COUNTIF($H$11:H347,H347)</f>
        <v>84</v>
      </c>
    </row>
    <row r="348" spans="8:10" x14ac:dyDescent="0.25">
      <c r="H348" s="1" t="s">
        <v>49</v>
      </c>
      <c r="J348">
        <f>COUNTIF($H$11:H348,H348)</f>
        <v>83</v>
      </c>
    </row>
    <row r="349" spans="8:10" x14ac:dyDescent="0.25">
      <c r="H349" s="1" t="s">
        <v>48</v>
      </c>
      <c r="J349">
        <f>COUNTIF($H$11:H349,H349)</f>
        <v>78</v>
      </c>
    </row>
    <row r="350" spans="8:10" x14ac:dyDescent="0.25">
      <c r="H350" s="1" t="s">
        <v>48</v>
      </c>
      <c r="J350">
        <f>COUNTIF($H$11:H350,H350)</f>
        <v>79</v>
      </c>
    </row>
    <row r="351" spans="8:10" x14ac:dyDescent="0.25">
      <c r="H351" s="1" t="s">
        <v>47</v>
      </c>
      <c r="J351">
        <f>COUNTIF($H$11:H351,H351)</f>
        <v>95</v>
      </c>
    </row>
    <row r="352" spans="8:10" x14ac:dyDescent="0.25">
      <c r="H352" s="1" t="s">
        <v>49</v>
      </c>
      <c r="J352">
        <f>COUNTIF($H$11:H352,H352)</f>
        <v>84</v>
      </c>
    </row>
    <row r="353" spans="8:10" x14ac:dyDescent="0.25">
      <c r="H353" s="1" t="s">
        <v>50</v>
      </c>
      <c r="J353">
        <f>COUNTIF($H$11:H353,H353)</f>
        <v>85</v>
      </c>
    </row>
    <row r="354" spans="8:10" x14ac:dyDescent="0.25">
      <c r="H354" s="1" t="s">
        <v>48</v>
      </c>
      <c r="J354">
        <f>COUNTIF($H$11:H354,H354)</f>
        <v>80</v>
      </c>
    </row>
    <row r="355" spans="8:10" x14ac:dyDescent="0.25">
      <c r="H355" s="1" t="s">
        <v>50</v>
      </c>
      <c r="J355">
        <f>COUNTIF($H$11:H355,H355)</f>
        <v>86</v>
      </c>
    </row>
    <row r="356" spans="8:10" x14ac:dyDescent="0.25">
      <c r="H356" s="1" t="s">
        <v>47</v>
      </c>
      <c r="J356">
        <f>COUNTIF($H$11:H356,H356)</f>
        <v>96</v>
      </c>
    </row>
    <row r="357" spans="8:10" x14ac:dyDescent="0.25">
      <c r="H357" s="1" t="s">
        <v>50</v>
      </c>
      <c r="J357">
        <f>COUNTIF($H$11:H357,H357)</f>
        <v>87</v>
      </c>
    </row>
    <row r="358" spans="8:10" x14ac:dyDescent="0.25">
      <c r="H358" s="1" t="s">
        <v>48</v>
      </c>
      <c r="J358">
        <f>COUNTIF($H$11:H358,H358)</f>
        <v>81</v>
      </c>
    </row>
    <row r="359" spans="8:10" x14ac:dyDescent="0.25">
      <c r="H359" s="1" t="s">
        <v>47</v>
      </c>
      <c r="J359">
        <f>COUNTIF($H$11:H359,H359)</f>
        <v>97</v>
      </c>
    </row>
    <row r="360" spans="8:10" x14ac:dyDescent="0.25">
      <c r="H360" s="1" t="s">
        <v>49</v>
      </c>
      <c r="J360">
        <f>COUNTIF($H$11:H360,H360)</f>
        <v>85</v>
      </c>
    </row>
    <row r="361" spans="8:10" x14ac:dyDescent="0.25">
      <c r="H361" s="1" t="s">
        <v>47</v>
      </c>
      <c r="J361">
        <f>COUNTIF($H$11:H361,H361)</f>
        <v>98</v>
      </c>
    </row>
    <row r="362" spans="8:10" x14ac:dyDescent="0.25">
      <c r="H362" s="1" t="s">
        <v>48</v>
      </c>
      <c r="J362">
        <f>COUNTIF($H$11:H362,H362)</f>
        <v>82</v>
      </c>
    </row>
    <row r="363" spans="8:10" x14ac:dyDescent="0.25">
      <c r="H363" s="1" t="s">
        <v>49</v>
      </c>
      <c r="J363">
        <f>COUNTIF($H$11:H363,H363)</f>
        <v>86</v>
      </c>
    </row>
    <row r="364" spans="8:10" x14ac:dyDescent="0.25">
      <c r="H364" s="1" t="s">
        <v>48</v>
      </c>
      <c r="J364">
        <f>COUNTIF($H$11:H364,H364)</f>
        <v>83</v>
      </c>
    </row>
    <row r="365" spans="8:10" x14ac:dyDescent="0.25">
      <c r="H365" s="1" t="s">
        <v>49</v>
      </c>
      <c r="J365">
        <f>COUNTIF($H$11:H365,H365)</f>
        <v>87</v>
      </c>
    </row>
    <row r="366" spans="8:10" x14ac:dyDescent="0.25">
      <c r="H366" s="1" t="s">
        <v>48</v>
      </c>
      <c r="J366">
        <f>COUNTIF($H$11:H366,H366)</f>
        <v>84</v>
      </c>
    </row>
    <row r="367" spans="8:10" x14ac:dyDescent="0.25">
      <c r="H367" s="1" t="s">
        <v>49</v>
      </c>
      <c r="J367">
        <f>COUNTIF($H$11:H367,H367)</f>
        <v>88</v>
      </c>
    </row>
    <row r="368" spans="8:10" x14ac:dyDescent="0.25">
      <c r="H368" s="1" t="s">
        <v>49</v>
      </c>
      <c r="J368">
        <f>COUNTIF($H$11:H368,H368)</f>
        <v>89</v>
      </c>
    </row>
    <row r="369" spans="8:10" x14ac:dyDescent="0.25">
      <c r="H369" s="1" t="s">
        <v>50</v>
      </c>
      <c r="J369">
        <f>COUNTIF($H$11:H369,H369)</f>
        <v>88</v>
      </c>
    </row>
    <row r="370" spans="8:10" x14ac:dyDescent="0.25">
      <c r="H370" s="1" t="s">
        <v>50</v>
      </c>
      <c r="J370">
        <f>COUNTIF($H$11:H370,H370)</f>
        <v>89</v>
      </c>
    </row>
    <row r="371" spans="8:10" x14ac:dyDescent="0.25">
      <c r="H371" s="1" t="s">
        <v>50</v>
      </c>
      <c r="J371">
        <f>COUNTIF($H$11:H371,H371)</f>
        <v>90</v>
      </c>
    </row>
    <row r="372" spans="8:10" x14ac:dyDescent="0.25">
      <c r="H372" s="1" t="s">
        <v>47</v>
      </c>
      <c r="J372">
        <f>COUNTIF($H$11:H372,H372)</f>
        <v>99</v>
      </c>
    </row>
    <row r="373" spans="8:10" x14ac:dyDescent="0.25">
      <c r="H373" s="1" t="s">
        <v>50</v>
      </c>
      <c r="J373">
        <f>COUNTIF($H$11:H373,H373)</f>
        <v>91</v>
      </c>
    </row>
    <row r="374" spans="8:10" x14ac:dyDescent="0.25">
      <c r="H374" s="1" t="s">
        <v>48</v>
      </c>
      <c r="J374">
        <f>COUNTIF($H$11:H374,H374)</f>
        <v>85</v>
      </c>
    </row>
    <row r="375" spans="8:10" x14ac:dyDescent="0.25">
      <c r="H375" s="1" t="s">
        <v>50</v>
      </c>
      <c r="J375">
        <f>COUNTIF($H$11:H375,H375)</f>
        <v>92</v>
      </c>
    </row>
    <row r="376" spans="8:10" x14ac:dyDescent="0.25">
      <c r="H376" s="1" t="s">
        <v>48</v>
      </c>
      <c r="J376">
        <f>COUNTIF($H$11:H376,H376)</f>
        <v>86</v>
      </c>
    </row>
    <row r="377" spans="8:10" x14ac:dyDescent="0.25">
      <c r="H377" s="1" t="s">
        <v>49</v>
      </c>
      <c r="J377">
        <f>COUNTIF($H$11:H377,H377)</f>
        <v>90</v>
      </c>
    </row>
    <row r="378" spans="8:10" x14ac:dyDescent="0.25">
      <c r="H378" s="1" t="s">
        <v>48</v>
      </c>
      <c r="J378">
        <f>COUNTIF($H$11:H378,H378)</f>
        <v>87</v>
      </c>
    </row>
    <row r="379" spans="8:10" x14ac:dyDescent="0.25">
      <c r="H379" s="1" t="s">
        <v>47</v>
      </c>
      <c r="J379">
        <f>COUNTIF($H$11:H379,H379)</f>
        <v>100</v>
      </c>
    </row>
    <row r="380" spans="8:10" x14ac:dyDescent="0.25">
      <c r="H380" s="1" t="s">
        <v>50</v>
      </c>
      <c r="J380">
        <f>COUNTIF($H$11:H380,H380)</f>
        <v>93</v>
      </c>
    </row>
    <row r="381" spans="8:10" x14ac:dyDescent="0.25">
      <c r="H381" s="1" t="s">
        <v>47</v>
      </c>
      <c r="J381">
        <f>COUNTIF($H$11:H381,H381)</f>
        <v>101</v>
      </c>
    </row>
    <row r="382" spans="8:10" x14ac:dyDescent="0.25">
      <c r="H382" s="1" t="s">
        <v>50</v>
      </c>
      <c r="J382">
        <f>COUNTIF($H$11:H382,H382)</f>
        <v>94</v>
      </c>
    </row>
    <row r="383" spans="8:10" x14ac:dyDescent="0.25">
      <c r="H383" s="1" t="s">
        <v>49</v>
      </c>
      <c r="J383">
        <f>COUNTIF($H$11:H383,H383)</f>
        <v>91</v>
      </c>
    </row>
    <row r="384" spans="8:10" x14ac:dyDescent="0.25">
      <c r="H384" s="1" t="s">
        <v>49</v>
      </c>
      <c r="J384">
        <f>COUNTIF($H$11:H384,H384)</f>
        <v>92</v>
      </c>
    </row>
    <row r="385" spans="8:10" x14ac:dyDescent="0.25">
      <c r="H385" s="1" t="s">
        <v>49</v>
      </c>
      <c r="J385">
        <f>COUNTIF($H$11:H385,H385)</f>
        <v>93</v>
      </c>
    </row>
    <row r="386" spans="8:10" x14ac:dyDescent="0.25">
      <c r="H386" s="1" t="s">
        <v>49</v>
      </c>
      <c r="J386">
        <f>COUNTIF($H$11:H386,H386)</f>
        <v>94</v>
      </c>
    </row>
    <row r="387" spans="8:10" x14ac:dyDescent="0.25">
      <c r="H387" s="1" t="s">
        <v>48</v>
      </c>
      <c r="J387">
        <f>COUNTIF($H$11:H387,H387)</f>
        <v>88</v>
      </c>
    </row>
    <row r="388" spans="8:10" x14ac:dyDescent="0.25">
      <c r="H388" s="1" t="s">
        <v>49</v>
      </c>
      <c r="J388">
        <f>COUNTIF($H$11:H388,H388)</f>
        <v>95</v>
      </c>
    </row>
    <row r="389" spans="8:10" x14ac:dyDescent="0.25">
      <c r="H389" s="1" t="s">
        <v>48</v>
      </c>
      <c r="J389">
        <f>COUNTIF($H$11:H389,H389)</f>
        <v>89</v>
      </c>
    </row>
    <row r="390" spans="8:10" x14ac:dyDescent="0.25">
      <c r="H390" s="1" t="s">
        <v>50</v>
      </c>
      <c r="J390">
        <f>COUNTIF($H$11:H390,H390)</f>
        <v>95</v>
      </c>
    </row>
    <row r="391" spans="8:10" x14ac:dyDescent="0.25">
      <c r="H391" s="1" t="s">
        <v>47</v>
      </c>
      <c r="J391">
        <f>COUNTIF($H$11:H391,H391)</f>
        <v>102</v>
      </c>
    </row>
    <row r="392" spans="8:10" x14ac:dyDescent="0.25">
      <c r="H392" s="1" t="s">
        <v>48</v>
      </c>
      <c r="J392">
        <f>COUNTIF($H$11:H392,H392)</f>
        <v>90</v>
      </c>
    </row>
    <row r="393" spans="8:10" x14ac:dyDescent="0.25">
      <c r="H393" s="1" t="s">
        <v>47</v>
      </c>
      <c r="J393">
        <f>COUNTIF($H$11:H393,H393)</f>
        <v>103</v>
      </c>
    </row>
    <row r="394" spans="8:10" x14ac:dyDescent="0.25">
      <c r="H394" s="1" t="s">
        <v>48</v>
      </c>
      <c r="J394">
        <f>COUNTIF($H$11:H394,H394)</f>
        <v>91</v>
      </c>
    </row>
    <row r="395" spans="8:10" x14ac:dyDescent="0.25">
      <c r="H395" s="1" t="s">
        <v>50</v>
      </c>
      <c r="J395">
        <f>COUNTIF($H$11:H395,H395)</f>
        <v>96</v>
      </c>
    </row>
    <row r="396" spans="8:10" x14ac:dyDescent="0.25">
      <c r="H396" s="1" t="s">
        <v>50</v>
      </c>
      <c r="J396">
        <f>COUNTIF($H$11:H396,H396)</f>
        <v>97</v>
      </c>
    </row>
    <row r="397" spans="8:10" x14ac:dyDescent="0.25">
      <c r="H397" s="1" t="s">
        <v>49</v>
      </c>
      <c r="J397">
        <f>COUNTIF($H$11:H397,H397)</f>
        <v>96</v>
      </c>
    </row>
    <row r="398" spans="8:10" x14ac:dyDescent="0.25">
      <c r="H398" s="1" t="s">
        <v>49</v>
      </c>
      <c r="J398">
        <f>COUNTIF($H$11:H398,H398)</f>
        <v>97</v>
      </c>
    </row>
    <row r="399" spans="8:10" x14ac:dyDescent="0.25">
      <c r="H399" s="1" t="s">
        <v>50</v>
      </c>
      <c r="J399">
        <f>COUNTIF($H$11:H399,H399)</f>
        <v>98</v>
      </c>
    </row>
    <row r="400" spans="8:10" x14ac:dyDescent="0.25">
      <c r="H400" s="1" t="s">
        <v>48</v>
      </c>
      <c r="J400">
        <f>COUNTIF($H$11:H400,H400)</f>
        <v>92</v>
      </c>
    </row>
    <row r="401" spans="8:10" x14ac:dyDescent="0.25">
      <c r="H401" s="1" t="s">
        <v>50</v>
      </c>
      <c r="J401">
        <f>COUNTIF($H$11:H401,H401)</f>
        <v>99</v>
      </c>
    </row>
    <row r="402" spans="8:10" x14ac:dyDescent="0.25">
      <c r="H402" s="1" t="s">
        <v>47</v>
      </c>
      <c r="J402">
        <f>COUNTIF($H$11:H402,H402)</f>
        <v>104</v>
      </c>
    </row>
    <row r="403" spans="8:10" x14ac:dyDescent="0.25">
      <c r="H403" s="1" t="s">
        <v>50</v>
      </c>
      <c r="J403">
        <f>COUNTIF($H$11:H403,H403)</f>
        <v>100</v>
      </c>
    </row>
    <row r="404" spans="8:10" x14ac:dyDescent="0.25">
      <c r="H404" s="1" t="s">
        <v>48</v>
      </c>
      <c r="J404">
        <f>COUNTIF($H$11:H404,H404)</f>
        <v>93</v>
      </c>
    </row>
    <row r="405" spans="8:10" x14ac:dyDescent="0.25">
      <c r="H405" s="1" t="s">
        <v>47</v>
      </c>
      <c r="J405">
        <f>COUNTIF($H$11:H405,H405)</f>
        <v>105</v>
      </c>
    </row>
    <row r="406" spans="8:10" x14ac:dyDescent="0.25">
      <c r="H406" s="1" t="s">
        <v>48</v>
      </c>
      <c r="J406">
        <f>COUNTIF($H$11:H406,H406)</f>
        <v>94</v>
      </c>
    </row>
    <row r="407" spans="8:10" x14ac:dyDescent="0.25">
      <c r="H407" s="1" t="s">
        <v>48</v>
      </c>
      <c r="J407">
        <f>COUNTIF($H$11:H407,H407)</f>
        <v>95</v>
      </c>
    </row>
    <row r="408" spans="8:10" x14ac:dyDescent="0.25">
      <c r="H408" s="1" t="s">
        <v>47</v>
      </c>
      <c r="J408">
        <f>COUNTIF($H$11:H408,H408)</f>
        <v>106</v>
      </c>
    </row>
    <row r="409" spans="8:10" x14ac:dyDescent="0.25">
      <c r="H409" s="1" t="s">
        <v>49</v>
      </c>
      <c r="J409">
        <f>COUNTIF($H$11:H409,H409)</f>
        <v>98</v>
      </c>
    </row>
    <row r="410" spans="8:10" x14ac:dyDescent="0.25">
      <c r="H410" s="1" t="s">
        <v>49</v>
      </c>
      <c r="J410">
        <f>COUNTIF($H$11:H410,H410)</f>
        <v>99</v>
      </c>
    </row>
    <row r="411" spans="8:10" x14ac:dyDescent="0.25">
      <c r="H411" s="1" t="s">
        <v>50</v>
      </c>
      <c r="J411">
        <f>COUNTIF($H$11:H411,H411)</f>
        <v>101</v>
      </c>
    </row>
    <row r="412" spans="8:10" x14ac:dyDescent="0.25">
      <c r="H412" s="1" t="s">
        <v>50</v>
      </c>
      <c r="J412">
        <f>COUNTIF($H$11:H412,H412)</f>
        <v>102</v>
      </c>
    </row>
    <row r="413" spans="8:10" x14ac:dyDescent="0.25">
      <c r="H413" s="1" t="s">
        <v>48</v>
      </c>
      <c r="J413">
        <f>COUNTIF($H$11:H413,H413)</f>
        <v>96</v>
      </c>
    </row>
    <row r="414" spans="8:10" x14ac:dyDescent="0.25">
      <c r="H414" s="1" t="s">
        <v>48</v>
      </c>
      <c r="J414">
        <f>COUNTIF($H$11:H414,H414)</f>
        <v>97</v>
      </c>
    </row>
    <row r="415" spans="8:10" x14ac:dyDescent="0.25">
      <c r="H415" s="1" t="s">
        <v>47</v>
      </c>
      <c r="J415">
        <f>COUNTIF($H$11:H415,H415)</f>
        <v>107</v>
      </c>
    </row>
    <row r="416" spans="8:10" x14ac:dyDescent="0.25">
      <c r="H416" s="1" t="s">
        <v>48</v>
      </c>
      <c r="J416">
        <f>COUNTIF($H$11:H416,H416)</f>
        <v>98</v>
      </c>
    </row>
    <row r="417" spans="8:10" x14ac:dyDescent="0.25">
      <c r="H417" s="1" t="s">
        <v>47</v>
      </c>
      <c r="J417">
        <f>COUNTIF($H$11:H417,H417)</f>
        <v>108</v>
      </c>
    </row>
    <row r="418" spans="8:10" x14ac:dyDescent="0.25">
      <c r="H418" s="1" t="s">
        <v>50</v>
      </c>
      <c r="J418">
        <f>COUNTIF($H$11:H418,H418)</f>
        <v>103</v>
      </c>
    </row>
    <row r="419" spans="8:10" x14ac:dyDescent="0.25">
      <c r="H419" s="1" t="s">
        <v>49</v>
      </c>
      <c r="J419">
        <f>COUNTIF($H$11:H419,H419)</f>
        <v>100</v>
      </c>
    </row>
    <row r="420" spans="8:10" x14ac:dyDescent="0.25">
      <c r="H420" s="1" t="s">
        <v>47</v>
      </c>
      <c r="J420">
        <f>COUNTIF($H$11:H420,H420)</f>
        <v>109</v>
      </c>
    </row>
    <row r="421" spans="8:10" x14ac:dyDescent="0.25">
      <c r="H421" s="1" t="s">
        <v>48</v>
      </c>
      <c r="J421">
        <f>COUNTIF($H$11:H421,H421)</f>
        <v>99</v>
      </c>
    </row>
    <row r="422" spans="8:10" x14ac:dyDescent="0.25">
      <c r="H422" s="1" t="s">
        <v>47</v>
      </c>
      <c r="J422">
        <f>COUNTIF($H$11:H422,H422)</f>
        <v>110</v>
      </c>
    </row>
    <row r="423" spans="8:10" x14ac:dyDescent="0.25">
      <c r="H423" s="1" t="s">
        <v>50</v>
      </c>
      <c r="J423">
        <f>COUNTIF($H$11:H423,H423)</f>
        <v>104</v>
      </c>
    </row>
    <row r="424" spans="8:10" x14ac:dyDescent="0.25">
      <c r="H424" s="1" t="s">
        <v>49</v>
      </c>
      <c r="J424">
        <f>COUNTIF($H$11:H424,H424)</f>
        <v>101</v>
      </c>
    </row>
    <row r="425" spans="8:10" x14ac:dyDescent="0.25">
      <c r="H425" s="1" t="s">
        <v>49</v>
      </c>
      <c r="J425">
        <f>COUNTIF($H$11:H425,H425)</f>
        <v>102</v>
      </c>
    </row>
    <row r="426" spans="8:10" x14ac:dyDescent="0.25">
      <c r="H426" s="1" t="s">
        <v>48</v>
      </c>
      <c r="J426">
        <f>COUNTIF($H$11:H426,H426)</f>
        <v>100</v>
      </c>
    </row>
    <row r="427" spans="8:10" x14ac:dyDescent="0.25">
      <c r="H427" s="1" t="s">
        <v>48</v>
      </c>
      <c r="J427">
        <f>COUNTIF($H$11:H427,H427)</f>
        <v>101</v>
      </c>
    </row>
    <row r="428" spans="8:10" x14ac:dyDescent="0.25">
      <c r="H428" s="1" t="s">
        <v>47</v>
      </c>
      <c r="J428">
        <f>COUNTIF($H$11:H428,H428)</f>
        <v>111</v>
      </c>
    </row>
    <row r="429" spans="8:10" x14ac:dyDescent="0.25">
      <c r="H429" s="1" t="s">
        <v>48</v>
      </c>
      <c r="J429">
        <f>COUNTIF($H$11:H429,H429)</f>
        <v>102</v>
      </c>
    </row>
    <row r="430" spans="8:10" x14ac:dyDescent="0.25">
      <c r="H430" s="1" t="s">
        <v>49</v>
      </c>
      <c r="J430">
        <f>COUNTIF($H$11:H430,H430)</f>
        <v>103</v>
      </c>
    </row>
    <row r="431" spans="8:10" x14ac:dyDescent="0.25">
      <c r="H431" s="1" t="s">
        <v>50</v>
      </c>
      <c r="J431">
        <f>COUNTIF($H$11:H431,H431)</f>
        <v>105</v>
      </c>
    </row>
    <row r="432" spans="8:10" x14ac:dyDescent="0.25">
      <c r="H432" s="1" t="s">
        <v>49</v>
      </c>
      <c r="J432">
        <f>COUNTIF($H$11:H432,H432)</f>
        <v>104</v>
      </c>
    </row>
    <row r="433" spans="8:10" x14ac:dyDescent="0.25">
      <c r="H433" s="1" t="s">
        <v>47</v>
      </c>
      <c r="J433">
        <f>COUNTIF($H$11:H433,H433)</f>
        <v>112</v>
      </c>
    </row>
    <row r="434" spans="8:10" x14ac:dyDescent="0.25">
      <c r="H434" s="1" t="s">
        <v>48</v>
      </c>
      <c r="J434">
        <f>COUNTIF($H$11:H434,H434)</f>
        <v>103</v>
      </c>
    </row>
    <row r="435" spans="8:10" x14ac:dyDescent="0.25">
      <c r="H435" s="1" t="s">
        <v>49</v>
      </c>
      <c r="J435">
        <f>COUNTIF($H$11:H435,H435)</f>
        <v>105</v>
      </c>
    </row>
    <row r="436" spans="8:10" x14ac:dyDescent="0.25">
      <c r="H436" s="1" t="s">
        <v>50</v>
      </c>
      <c r="J436">
        <f>COUNTIF($H$11:H436,H436)</f>
        <v>106</v>
      </c>
    </row>
    <row r="437" spans="8:10" x14ac:dyDescent="0.25">
      <c r="H437" s="1" t="s">
        <v>48</v>
      </c>
      <c r="J437">
        <f>COUNTIF($H$11:H437,H437)</f>
        <v>104</v>
      </c>
    </row>
    <row r="438" spans="8:10" x14ac:dyDescent="0.25">
      <c r="H438" s="1" t="s">
        <v>50</v>
      </c>
      <c r="J438">
        <f>COUNTIF($H$11:H438,H438)</f>
        <v>107</v>
      </c>
    </row>
  </sheetData>
  <mergeCells count="2">
    <mergeCell ref="H3:H4"/>
    <mergeCell ref="H5:H6"/>
  </mergeCells>
  <conditionalFormatting sqref="H11:H438">
    <cfRule type="expression" dxfId="24" priority="1">
      <formula>AND(COUNTIF($H$11:$H11,$H11)=1,$D$1)</formula>
    </cfRule>
    <cfRule type="expression" dxfId="23" priority="2">
      <formula>AND(COUNTIF($H$11:$H11,$H11)&gt;1,$E$1)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7</xdr:col>
                    <xdr:colOff>47625</xdr:colOff>
                    <xdr:row>2</xdr:row>
                    <xdr:rowOff>47625</xdr:rowOff>
                  </from>
                  <to>
                    <xdr:col>8</xdr:col>
                    <xdr:colOff>38100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>
                <anchor moveWithCells="1">
                  <from>
                    <xdr:col>7</xdr:col>
                    <xdr:colOff>47625</xdr:colOff>
                    <xdr:row>4</xdr:row>
                    <xdr:rowOff>47625</xdr:rowOff>
                  </from>
                  <to>
                    <xdr:col>8</xdr:col>
                    <xdr:colOff>76200</xdr:colOff>
                    <xdr:row>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122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" sqref="E2"/>
    </sheetView>
  </sheetViews>
  <sheetFormatPr defaultRowHeight="15" x14ac:dyDescent="0.25"/>
  <cols>
    <col min="1" max="1" width="10.42578125" bestFit="1" customWidth="1"/>
    <col min="2" max="2" width="15" bestFit="1" customWidth="1"/>
    <col min="3" max="6" width="15" customWidth="1"/>
    <col min="7" max="7" width="9.7109375" bestFit="1" customWidth="1"/>
    <col min="8" max="8" width="10.7109375" bestFit="1" customWidth="1"/>
    <col min="9" max="9" width="10.85546875" bestFit="1" customWidth="1"/>
    <col min="10" max="10" width="11.5703125" bestFit="1" customWidth="1"/>
    <col min="15" max="15" width="14.85546875" bestFit="1" customWidth="1"/>
    <col min="16" max="16" width="38.42578125" customWidth="1"/>
  </cols>
  <sheetData>
    <row r="1" spans="1:16" x14ac:dyDescent="0.25">
      <c r="A1" s="12" t="s">
        <v>53</v>
      </c>
      <c r="B1" t="s">
        <v>76</v>
      </c>
      <c r="C1" t="s">
        <v>60</v>
      </c>
      <c r="D1" t="s">
        <v>77</v>
      </c>
      <c r="E1" t="s">
        <v>78</v>
      </c>
      <c r="F1" t="s">
        <v>79</v>
      </c>
      <c r="G1" t="s">
        <v>67</v>
      </c>
      <c r="H1" t="s">
        <v>55</v>
      </c>
      <c r="I1" t="s">
        <v>80</v>
      </c>
      <c r="J1" t="s">
        <v>74</v>
      </c>
    </row>
    <row r="2" spans="1:16" x14ac:dyDescent="0.25">
      <c r="A2" s="13">
        <v>41518</v>
      </c>
      <c r="B2" s="13" t="b">
        <f ca="1">$A2=TODAY()</f>
        <v>0</v>
      </c>
      <c r="C2" s="13" t="b">
        <f ca="1">$A2=TODAY()-1</f>
        <v>0</v>
      </c>
      <c r="D2" s="13" t="b">
        <f ca="1">$A2=TODAY()+1</f>
        <v>0</v>
      </c>
      <c r="E2" s="13" t="b">
        <f ca="1">WEEKNUM($A2)=WEEKNUM(TODAY()-1)</f>
        <v>0</v>
      </c>
      <c r="F2" s="13" t="b">
        <f ca="1">WEEKNUM($A2)=WEEKNUM(TODAY())+1</f>
        <v>0</v>
      </c>
      <c r="G2" t="b">
        <f ca="1">WEEKNUM($A2)=WEEKNUM(TODAY())</f>
        <v>0</v>
      </c>
      <c r="H2" t="b">
        <f ca="1">MONTH(A2)=MONTH(TODAY())-1</f>
        <v>0</v>
      </c>
      <c r="I2" t="b">
        <f ca="1">MONTH(A2)=MONTH(TODAY())</f>
        <v>0</v>
      </c>
      <c r="J2" t="b">
        <f ca="1">MONTH(A2)=MONTH(TODAY())+1</f>
        <v>0</v>
      </c>
    </row>
    <row r="3" spans="1:16" ht="15.75" thickBot="1" x14ac:dyDescent="0.3">
      <c r="A3" s="13">
        <f>A2+1</f>
        <v>41519</v>
      </c>
      <c r="B3" s="13" t="b">
        <f t="shared" ref="B3:B66" ca="1" si="0">$A3=TODAY()</f>
        <v>0</v>
      </c>
      <c r="C3" s="13" t="b">
        <f t="shared" ref="C3:C66" ca="1" si="1">$A3=TODAY()-1</f>
        <v>0</v>
      </c>
      <c r="D3" s="13" t="b">
        <f t="shared" ref="D3:D66" ca="1" si="2">$A3=TODAY()+1</f>
        <v>0</v>
      </c>
      <c r="E3" s="13" t="b">
        <f t="shared" ref="E3:E66" ca="1" si="3">WEEKNUM($A3)=WEEKNUM(TODAY()-1)</f>
        <v>0</v>
      </c>
      <c r="F3" s="13" t="b">
        <f t="shared" ref="F3:F66" ca="1" si="4">WEEKNUM($A3)=WEEKNUM(TODAY())+1</f>
        <v>0</v>
      </c>
      <c r="G3" t="b">
        <f t="shared" ref="G3:G66" ca="1" si="5">WEEKNUM($A3)=WEEKNUM(TODAY())</f>
        <v>0</v>
      </c>
      <c r="H3" t="b">
        <f t="shared" ref="H3:H66" ca="1" si="6">MONTH(A3)=MONTH(TODAY())-1</f>
        <v>0</v>
      </c>
      <c r="I3" t="b">
        <f t="shared" ref="I3:I66" ca="1" si="7">MONTH(A3)=MONTH(TODAY())</f>
        <v>0</v>
      </c>
      <c r="J3" t="b">
        <f t="shared" ref="J3:J66" ca="1" si="8">MONTH(A3)=MONTH(TODAY())+1</f>
        <v>0</v>
      </c>
    </row>
    <row r="4" spans="1:16" x14ac:dyDescent="0.25">
      <c r="A4" s="13">
        <f t="shared" ref="A4:A67" si="9">A3+1</f>
        <v>41520</v>
      </c>
      <c r="B4" s="13" t="b">
        <f t="shared" ca="1" si="0"/>
        <v>0</v>
      </c>
      <c r="C4" s="13" t="b">
        <f t="shared" ca="1" si="1"/>
        <v>0</v>
      </c>
      <c r="D4" s="13" t="b">
        <f t="shared" ca="1" si="2"/>
        <v>0</v>
      </c>
      <c r="E4" s="13" t="b">
        <f t="shared" ca="1" si="3"/>
        <v>0</v>
      </c>
      <c r="F4" s="13" t="b">
        <f t="shared" ca="1" si="4"/>
        <v>0</v>
      </c>
      <c r="G4" t="b">
        <f t="shared" ca="1" si="5"/>
        <v>0</v>
      </c>
      <c r="H4" t="b">
        <f t="shared" ca="1" si="6"/>
        <v>0</v>
      </c>
      <c r="I4" t="b">
        <f t="shared" ca="1" si="7"/>
        <v>0</v>
      </c>
      <c r="J4" t="b">
        <f t="shared" ca="1" si="8"/>
        <v>0</v>
      </c>
      <c r="O4" s="14" t="s">
        <v>56</v>
      </c>
      <c r="P4" s="15" t="s">
        <v>57</v>
      </c>
    </row>
    <row r="5" spans="1:16" x14ac:dyDescent="0.25">
      <c r="A5" s="13">
        <f t="shared" si="9"/>
        <v>41521</v>
      </c>
      <c r="B5" s="13" t="b">
        <f t="shared" ca="1" si="0"/>
        <v>0</v>
      </c>
      <c r="C5" s="13" t="b">
        <f t="shared" ca="1" si="1"/>
        <v>0</v>
      </c>
      <c r="D5" s="13" t="b">
        <f t="shared" ca="1" si="2"/>
        <v>0</v>
      </c>
      <c r="E5" s="13" t="b">
        <f t="shared" ca="1" si="3"/>
        <v>0</v>
      </c>
      <c r="F5" s="13" t="b">
        <f t="shared" ca="1" si="4"/>
        <v>0</v>
      </c>
      <c r="G5" t="b">
        <f t="shared" ca="1" si="5"/>
        <v>0</v>
      </c>
      <c r="H5" t="b">
        <f t="shared" ca="1" si="6"/>
        <v>0</v>
      </c>
      <c r="I5" t="b">
        <f t="shared" ca="1" si="7"/>
        <v>0</v>
      </c>
      <c r="J5" t="b">
        <f t="shared" ca="1" si="8"/>
        <v>0</v>
      </c>
      <c r="O5" s="16" t="s">
        <v>58</v>
      </c>
      <c r="P5" s="17" t="s">
        <v>59</v>
      </c>
    </row>
    <row r="6" spans="1:16" x14ac:dyDescent="0.25">
      <c r="A6" s="13">
        <f t="shared" si="9"/>
        <v>41522</v>
      </c>
      <c r="B6" s="13" t="b">
        <f t="shared" ca="1" si="0"/>
        <v>0</v>
      </c>
      <c r="C6" s="13" t="b">
        <f t="shared" ca="1" si="1"/>
        <v>0</v>
      </c>
      <c r="D6" s="13" t="b">
        <f t="shared" ca="1" si="2"/>
        <v>0</v>
      </c>
      <c r="E6" s="13" t="b">
        <f t="shared" ca="1" si="3"/>
        <v>0</v>
      </c>
      <c r="F6" s="13" t="b">
        <f t="shared" ca="1" si="4"/>
        <v>0</v>
      </c>
      <c r="G6" t="b">
        <f t="shared" ca="1" si="5"/>
        <v>0</v>
      </c>
      <c r="H6" t="b">
        <f t="shared" ca="1" si="6"/>
        <v>0</v>
      </c>
      <c r="I6" t="b">
        <f t="shared" ca="1" si="7"/>
        <v>0</v>
      </c>
      <c r="J6" t="b">
        <f t="shared" ca="1" si="8"/>
        <v>0</v>
      </c>
      <c r="O6" s="18" t="s">
        <v>60</v>
      </c>
      <c r="P6" s="17" t="s">
        <v>61</v>
      </c>
    </row>
    <row r="7" spans="1:16" x14ac:dyDescent="0.25">
      <c r="A7" s="13">
        <f t="shared" si="9"/>
        <v>41523</v>
      </c>
      <c r="B7" s="13" t="b">
        <f t="shared" ca="1" si="0"/>
        <v>0</v>
      </c>
      <c r="C7" s="13" t="b">
        <f t="shared" ca="1" si="1"/>
        <v>0</v>
      </c>
      <c r="D7" s="13" t="b">
        <f t="shared" ca="1" si="2"/>
        <v>0</v>
      </c>
      <c r="E7" s="13" t="b">
        <f t="shared" ca="1" si="3"/>
        <v>0</v>
      </c>
      <c r="F7" s="13" t="b">
        <f t="shared" ca="1" si="4"/>
        <v>0</v>
      </c>
      <c r="G7" t="b">
        <f t="shared" ca="1" si="5"/>
        <v>0</v>
      </c>
      <c r="H7" t="b">
        <f t="shared" ca="1" si="6"/>
        <v>0</v>
      </c>
      <c r="I7" t="b">
        <f t="shared" ca="1" si="7"/>
        <v>0</v>
      </c>
      <c r="J7" t="b">
        <f t="shared" ca="1" si="8"/>
        <v>0</v>
      </c>
      <c r="O7" s="19" t="s">
        <v>62</v>
      </c>
      <c r="P7" s="17" t="s">
        <v>63</v>
      </c>
    </row>
    <row r="8" spans="1:16" x14ac:dyDescent="0.25">
      <c r="A8" s="13">
        <f t="shared" si="9"/>
        <v>41524</v>
      </c>
      <c r="B8" s="13" t="b">
        <f t="shared" ca="1" si="0"/>
        <v>0</v>
      </c>
      <c r="C8" s="13" t="b">
        <f t="shared" ca="1" si="1"/>
        <v>0</v>
      </c>
      <c r="D8" s="13" t="b">
        <f t="shared" ca="1" si="2"/>
        <v>0</v>
      </c>
      <c r="E8" s="13" t="b">
        <f t="shared" ca="1" si="3"/>
        <v>0</v>
      </c>
      <c r="F8" s="13" t="b">
        <f t="shared" ca="1" si="4"/>
        <v>0</v>
      </c>
      <c r="G8" t="b">
        <f t="shared" ca="1" si="5"/>
        <v>0</v>
      </c>
      <c r="H8" t="b">
        <f t="shared" ca="1" si="6"/>
        <v>0</v>
      </c>
      <c r="I8" t="b">
        <f t="shared" ca="1" si="7"/>
        <v>0</v>
      </c>
      <c r="J8" t="b">
        <f t="shared" ca="1" si="8"/>
        <v>0</v>
      </c>
      <c r="O8" s="20" t="s">
        <v>54</v>
      </c>
      <c r="P8" s="17" t="s">
        <v>64</v>
      </c>
    </row>
    <row r="9" spans="1:16" x14ac:dyDescent="0.25">
      <c r="A9" s="13">
        <f t="shared" si="9"/>
        <v>41525</v>
      </c>
      <c r="B9" s="13" t="b">
        <f t="shared" ca="1" si="0"/>
        <v>0</v>
      </c>
      <c r="C9" s="13" t="b">
        <f t="shared" ca="1" si="1"/>
        <v>0</v>
      </c>
      <c r="D9" s="13" t="b">
        <f t="shared" ca="1" si="2"/>
        <v>0</v>
      </c>
      <c r="E9" s="13" t="b">
        <f t="shared" ca="1" si="3"/>
        <v>0</v>
      </c>
      <c r="F9" s="13" t="b">
        <f t="shared" ca="1" si="4"/>
        <v>0</v>
      </c>
      <c r="G9" t="b">
        <f t="shared" ca="1" si="5"/>
        <v>0</v>
      </c>
      <c r="H9" t="b">
        <f t="shared" ca="1" si="6"/>
        <v>0</v>
      </c>
      <c r="I9" t="b">
        <f t="shared" ca="1" si="7"/>
        <v>0</v>
      </c>
      <c r="J9" t="b">
        <f t="shared" ca="1" si="8"/>
        <v>0</v>
      </c>
      <c r="O9" s="21" t="s">
        <v>65</v>
      </c>
      <c r="P9" s="17" t="s">
        <v>66</v>
      </c>
    </row>
    <row r="10" spans="1:16" x14ac:dyDescent="0.25">
      <c r="A10" s="13">
        <f t="shared" si="9"/>
        <v>41526</v>
      </c>
      <c r="B10" s="13" t="b">
        <f t="shared" ca="1" si="0"/>
        <v>0</v>
      </c>
      <c r="C10" s="13" t="b">
        <f t="shared" ca="1" si="1"/>
        <v>0</v>
      </c>
      <c r="D10" s="13" t="b">
        <f t="shared" ca="1" si="2"/>
        <v>0</v>
      </c>
      <c r="E10" s="13" t="b">
        <f t="shared" ca="1" si="3"/>
        <v>0</v>
      </c>
      <c r="F10" s="13" t="b">
        <f t="shared" ca="1" si="4"/>
        <v>0</v>
      </c>
      <c r="G10" t="b">
        <f t="shared" ca="1" si="5"/>
        <v>0</v>
      </c>
      <c r="H10" t="b">
        <f t="shared" ca="1" si="6"/>
        <v>0</v>
      </c>
      <c r="I10" t="b">
        <f t="shared" ca="1" si="7"/>
        <v>0</v>
      </c>
      <c r="J10" t="b">
        <f t="shared" ca="1" si="8"/>
        <v>0</v>
      </c>
      <c r="O10" s="27" t="s">
        <v>67</v>
      </c>
      <c r="P10" s="17" t="s">
        <v>68</v>
      </c>
    </row>
    <row r="11" spans="1:16" x14ac:dyDescent="0.25">
      <c r="A11" s="13">
        <f t="shared" si="9"/>
        <v>41527</v>
      </c>
      <c r="B11" s="13" t="b">
        <f t="shared" ca="1" si="0"/>
        <v>0</v>
      </c>
      <c r="C11" s="13" t="b">
        <f t="shared" ca="1" si="1"/>
        <v>0</v>
      </c>
      <c r="D11" s="13" t="b">
        <f t="shared" ca="1" si="2"/>
        <v>0</v>
      </c>
      <c r="E11" s="13" t="b">
        <f t="shared" ca="1" si="3"/>
        <v>0</v>
      </c>
      <c r="F11" s="13" t="b">
        <f t="shared" ca="1" si="4"/>
        <v>0</v>
      </c>
      <c r="G11" t="b">
        <f t="shared" ca="1" si="5"/>
        <v>0</v>
      </c>
      <c r="H11" t="b">
        <f t="shared" ca="1" si="6"/>
        <v>0</v>
      </c>
      <c r="I11" t="b">
        <f t="shared" ca="1" si="7"/>
        <v>0</v>
      </c>
      <c r="J11" t="b">
        <f t="shared" ca="1" si="8"/>
        <v>0</v>
      </c>
      <c r="O11" s="22" t="s">
        <v>69</v>
      </c>
      <c r="P11" s="17" t="s">
        <v>70</v>
      </c>
    </row>
    <row r="12" spans="1:16" x14ac:dyDescent="0.25">
      <c r="A12" s="13">
        <f t="shared" si="9"/>
        <v>41528</v>
      </c>
      <c r="B12" s="13" t="b">
        <f t="shared" ca="1" si="0"/>
        <v>0</v>
      </c>
      <c r="C12" s="13" t="b">
        <f t="shared" ca="1" si="1"/>
        <v>0</v>
      </c>
      <c r="D12" s="13" t="b">
        <f t="shared" ca="1" si="2"/>
        <v>0</v>
      </c>
      <c r="E12" s="13" t="b">
        <f t="shared" ca="1" si="3"/>
        <v>0</v>
      </c>
      <c r="F12" s="13" t="b">
        <f t="shared" ca="1" si="4"/>
        <v>0</v>
      </c>
      <c r="G12" t="b">
        <f t="shared" ca="1" si="5"/>
        <v>0</v>
      </c>
      <c r="H12" t="b">
        <f t="shared" ca="1" si="6"/>
        <v>0</v>
      </c>
      <c r="I12" t="b">
        <f t="shared" ca="1" si="7"/>
        <v>0</v>
      </c>
      <c r="J12" t="b">
        <f t="shared" ca="1" si="8"/>
        <v>0</v>
      </c>
      <c r="O12" s="23" t="s">
        <v>55</v>
      </c>
      <c r="P12" s="17" t="s">
        <v>71</v>
      </c>
    </row>
    <row r="13" spans="1:16" x14ac:dyDescent="0.25">
      <c r="A13" s="13">
        <f t="shared" si="9"/>
        <v>41529</v>
      </c>
      <c r="B13" s="13" t="b">
        <f t="shared" ca="1" si="0"/>
        <v>0</v>
      </c>
      <c r="C13" s="13" t="b">
        <f t="shared" ca="1" si="1"/>
        <v>0</v>
      </c>
      <c r="D13" s="13" t="b">
        <f t="shared" ca="1" si="2"/>
        <v>0</v>
      </c>
      <c r="E13" s="13" t="b">
        <f t="shared" ca="1" si="3"/>
        <v>0</v>
      </c>
      <c r="F13" s="13" t="b">
        <f t="shared" ca="1" si="4"/>
        <v>0</v>
      </c>
      <c r="G13" t="b">
        <f t="shared" ca="1" si="5"/>
        <v>0</v>
      </c>
      <c r="H13" t="b">
        <f t="shared" ca="1" si="6"/>
        <v>0</v>
      </c>
      <c r="I13" t="b">
        <f t="shared" ca="1" si="7"/>
        <v>0</v>
      </c>
      <c r="J13" t="b">
        <f t="shared" ca="1" si="8"/>
        <v>0</v>
      </c>
      <c r="O13" s="24" t="s">
        <v>72</v>
      </c>
      <c r="P13" s="17" t="s">
        <v>73</v>
      </c>
    </row>
    <row r="14" spans="1:16" ht="15.75" thickBot="1" x14ac:dyDescent="0.3">
      <c r="A14" s="13">
        <f t="shared" si="9"/>
        <v>41530</v>
      </c>
      <c r="B14" s="13" t="b">
        <f t="shared" ca="1" si="0"/>
        <v>0</v>
      </c>
      <c r="C14" s="13" t="b">
        <f t="shared" ca="1" si="1"/>
        <v>0</v>
      </c>
      <c r="D14" s="13" t="b">
        <f t="shared" ca="1" si="2"/>
        <v>0</v>
      </c>
      <c r="E14" s="13" t="b">
        <f t="shared" ca="1" si="3"/>
        <v>0</v>
      </c>
      <c r="F14" s="13" t="b">
        <f t="shared" ca="1" si="4"/>
        <v>0</v>
      </c>
      <c r="G14" t="b">
        <f t="shared" ca="1" si="5"/>
        <v>0</v>
      </c>
      <c r="H14" t="b">
        <f t="shared" ca="1" si="6"/>
        <v>0</v>
      </c>
      <c r="I14" t="b">
        <f t="shared" ca="1" si="7"/>
        <v>0</v>
      </c>
      <c r="J14" t="b">
        <f t="shared" ca="1" si="8"/>
        <v>0</v>
      </c>
      <c r="O14" s="25" t="s">
        <v>74</v>
      </c>
      <c r="P14" s="26" t="s">
        <v>75</v>
      </c>
    </row>
    <row r="15" spans="1:16" x14ac:dyDescent="0.25">
      <c r="A15" s="13">
        <f t="shared" si="9"/>
        <v>41531</v>
      </c>
      <c r="B15" s="13" t="b">
        <f t="shared" ca="1" si="0"/>
        <v>0</v>
      </c>
      <c r="C15" s="13" t="b">
        <f t="shared" ca="1" si="1"/>
        <v>0</v>
      </c>
      <c r="D15" s="13" t="b">
        <f t="shared" ca="1" si="2"/>
        <v>0</v>
      </c>
      <c r="E15" s="13" t="b">
        <f t="shared" ca="1" si="3"/>
        <v>0</v>
      </c>
      <c r="F15" s="13" t="b">
        <f t="shared" ca="1" si="4"/>
        <v>0</v>
      </c>
      <c r="G15" t="b">
        <f t="shared" ca="1" si="5"/>
        <v>0</v>
      </c>
      <c r="H15" t="b">
        <f t="shared" ca="1" si="6"/>
        <v>0</v>
      </c>
      <c r="I15" t="b">
        <f t="shared" ca="1" si="7"/>
        <v>0</v>
      </c>
      <c r="J15" t="b">
        <f t="shared" ca="1" si="8"/>
        <v>0</v>
      </c>
    </row>
    <row r="16" spans="1:16" x14ac:dyDescent="0.25">
      <c r="A16" s="13">
        <f t="shared" si="9"/>
        <v>41532</v>
      </c>
      <c r="B16" s="13" t="b">
        <f t="shared" ca="1" si="0"/>
        <v>0</v>
      </c>
      <c r="C16" s="13" t="b">
        <f t="shared" ca="1" si="1"/>
        <v>0</v>
      </c>
      <c r="D16" s="13" t="b">
        <f t="shared" ca="1" si="2"/>
        <v>0</v>
      </c>
      <c r="E16" s="13" t="b">
        <f t="shared" ca="1" si="3"/>
        <v>0</v>
      </c>
      <c r="F16" s="13" t="b">
        <f t="shared" ca="1" si="4"/>
        <v>0</v>
      </c>
      <c r="G16" t="b">
        <f t="shared" ca="1" si="5"/>
        <v>0</v>
      </c>
      <c r="H16" t="b">
        <f t="shared" ca="1" si="6"/>
        <v>0</v>
      </c>
      <c r="I16" t="b">
        <f t="shared" ca="1" si="7"/>
        <v>0</v>
      </c>
      <c r="J16" t="b">
        <f t="shared" ca="1" si="8"/>
        <v>0</v>
      </c>
    </row>
    <row r="17" spans="1:10" x14ac:dyDescent="0.25">
      <c r="A17" s="13">
        <f t="shared" si="9"/>
        <v>41533</v>
      </c>
      <c r="B17" s="13" t="b">
        <f t="shared" ca="1" si="0"/>
        <v>0</v>
      </c>
      <c r="C17" s="13" t="b">
        <f t="shared" ca="1" si="1"/>
        <v>0</v>
      </c>
      <c r="D17" s="13" t="b">
        <f t="shared" ca="1" si="2"/>
        <v>0</v>
      </c>
      <c r="E17" s="13" t="b">
        <f t="shared" ca="1" si="3"/>
        <v>0</v>
      </c>
      <c r="F17" s="13" t="b">
        <f t="shared" ca="1" si="4"/>
        <v>0</v>
      </c>
      <c r="G17" t="b">
        <f t="shared" ca="1" si="5"/>
        <v>0</v>
      </c>
      <c r="H17" t="b">
        <f t="shared" ca="1" si="6"/>
        <v>0</v>
      </c>
      <c r="I17" t="b">
        <f t="shared" ca="1" si="7"/>
        <v>0</v>
      </c>
      <c r="J17" t="b">
        <f t="shared" ca="1" si="8"/>
        <v>0</v>
      </c>
    </row>
    <row r="18" spans="1:10" x14ac:dyDescent="0.25">
      <c r="A18" s="13">
        <f t="shared" si="9"/>
        <v>41534</v>
      </c>
      <c r="B18" s="13" t="b">
        <f t="shared" ca="1" si="0"/>
        <v>0</v>
      </c>
      <c r="C18" s="13" t="b">
        <f t="shared" ca="1" si="1"/>
        <v>0</v>
      </c>
      <c r="D18" s="13" t="b">
        <f t="shared" ca="1" si="2"/>
        <v>0</v>
      </c>
      <c r="E18" s="13" t="b">
        <f t="shared" ca="1" si="3"/>
        <v>0</v>
      </c>
      <c r="F18" s="13" t="b">
        <f t="shared" ca="1" si="4"/>
        <v>0</v>
      </c>
      <c r="G18" t="b">
        <f t="shared" ca="1" si="5"/>
        <v>0</v>
      </c>
      <c r="H18" t="b">
        <f t="shared" ca="1" si="6"/>
        <v>0</v>
      </c>
      <c r="I18" t="b">
        <f t="shared" ca="1" si="7"/>
        <v>0</v>
      </c>
      <c r="J18" t="b">
        <f t="shared" ca="1" si="8"/>
        <v>0</v>
      </c>
    </row>
    <row r="19" spans="1:10" x14ac:dyDescent="0.25">
      <c r="A19" s="13">
        <f t="shared" si="9"/>
        <v>41535</v>
      </c>
      <c r="B19" s="13" t="b">
        <f t="shared" ca="1" si="0"/>
        <v>0</v>
      </c>
      <c r="C19" s="13" t="b">
        <f t="shared" ca="1" si="1"/>
        <v>0</v>
      </c>
      <c r="D19" s="13" t="b">
        <f t="shared" ca="1" si="2"/>
        <v>0</v>
      </c>
      <c r="E19" s="13" t="b">
        <f t="shared" ca="1" si="3"/>
        <v>0</v>
      </c>
      <c r="F19" s="13" t="b">
        <f t="shared" ca="1" si="4"/>
        <v>0</v>
      </c>
      <c r="G19" t="b">
        <f t="shared" ca="1" si="5"/>
        <v>0</v>
      </c>
      <c r="H19" t="b">
        <f t="shared" ca="1" si="6"/>
        <v>0</v>
      </c>
      <c r="I19" t="b">
        <f t="shared" ca="1" si="7"/>
        <v>0</v>
      </c>
      <c r="J19" t="b">
        <f t="shared" ca="1" si="8"/>
        <v>0</v>
      </c>
    </row>
    <row r="20" spans="1:10" x14ac:dyDescent="0.25">
      <c r="A20" s="13">
        <f t="shared" si="9"/>
        <v>41536</v>
      </c>
      <c r="B20" s="13" t="b">
        <f t="shared" ca="1" si="0"/>
        <v>0</v>
      </c>
      <c r="C20" s="13" t="b">
        <f t="shared" ca="1" si="1"/>
        <v>0</v>
      </c>
      <c r="D20" s="13" t="b">
        <f t="shared" ca="1" si="2"/>
        <v>0</v>
      </c>
      <c r="E20" s="13" t="b">
        <f t="shared" ca="1" si="3"/>
        <v>0</v>
      </c>
      <c r="F20" s="13" t="b">
        <f t="shared" ca="1" si="4"/>
        <v>0</v>
      </c>
      <c r="G20" t="b">
        <f t="shared" ca="1" si="5"/>
        <v>0</v>
      </c>
      <c r="H20" t="b">
        <f t="shared" ca="1" si="6"/>
        <v>0</v>
      </c>
      <c r="I20" t="b">
        <f t="shared" ca="1" si="7"/>
        <v>0</v>
      </c>
      <c r="J20" t="b">
        <f t="shared" ca="1" si="8"/>
        <v>0</v>
      </c>
    </row>
    <row r="21" spans="1:10" x14ac:dyDescent="0.25">
      <c r="A21" s="13">
        <f t="shared" si="9"/>
        <v>41537</v>
      </c>
      <c r="B21" s="13" t="b">
        <f t="shared" ca="1" si="0"/>
        <v>0</v>
      </c>
      <c r="C21" s="13" t="b">
        <f t="shared" ca="1" si="1"/>
        <v>0</v>
      </c>
      <c r="D21" s="13" t="b">
        <f t="shared" ca="1" si="2"/>
        <v>0</v>
      </c>
      <c r="E21" s="13" t="b">
        <f t="shared" ca="1" si="3"/>
        <v>0</v>
      </c>
      <c r="F21" s="13" t="b">
        <f t="shared" ca="1" si="4"/>
        <v>0</v>
      </c>
      <c r="G21" t="b">
        <f t="shared" ca="1" si="5"/>
        <v>0</v>
      </c>
      <c r="H21" t="b">
        <f t="shared" ca="1" si="6"/>
        <v>0</v>
      </c>
      <c r="I21" t="b">
        <f t="shared" ca="1" si="7"/>
        <v>0</v>
      </c>
      <c r="J21" t="b">
        <f t="shared" ca="1" si="8"/>
        <v>0</v>
      </c>
    </row>
    <row r="22" spans="1:10" x14ac:dyDescent="0.25">
      <c r="A22" s="13">
        <f t="shared" si="9"/>
        <v>41538</v>
      </c>
      <c r="B22" s="13" t="b">
        <f t="shared" ca="1" si="0"/>
        <v>0</v>
      </c>
      <c r="C22" s="13" t="b">
        <f t="shared" ca="1" si="1"/>
        <v>0</v>
      </c>
      <c r="D22" s="13" t="b">
        <f t="shared" ca="1" si="2"/>
        <v>0</v>
      </c>
      <c r="E22" s="13" t="b">
        <f t="shared" ca="1" si="3"/>
        <v>0</v>
      </c>
      <c r="F22" s="13" t="b">
        <f t="shared" ca="1" si="4"/>
        <v>0</v>
      </c>
      <c r="G22" t="b">
        <f t="shared" ca="1" si="5"/>
        <v>0</v>
      </c>
      <c r="H22" t="b">
        <f t="shared" ca="1" si="6"/>
        <v>0</v>
      </c>
      <c r="I22" t="b">
        <f t="shared" ca="1" si="7"/>
        <v>0</v>
      </c>
      <c r="J22" t="b">
        <f t="shared" ca="1" si="8"/>
        <v>0</v>
      </c>
    </row>
    <row r="23" spans="1:10" x14ac:dyDescent="0.25">
      <c r="A23" s="13">
        <f t="shared" si="9"/>
        <v>41539</v>
      </c>
      <c r="B23" s="13" t="b">
        <f t="shared" ca="1" si="0"/>
        <v>0</v>
      </c>
      <c r="C23" s="13" t="b">
        <f t="shared" ca="1" si="1"/>
        <v>0</v>
      </c>
      <c r="D23" s="13" t="b">
        <f t="shared" ca="1" si="2"/>
        <v>0</v>
      </c>
      <c r="E23" s="13" t="b">
        <f t="shared" ca="1" si="3"/>
        <v>0</v>
      </c>
      <c r="F23" s="13" t="b">
        <f t="shared" ca="1" si="4"/>
        <v>0</v>
      </c>
      <c r="G23" t="b">
        <f t="shared" ca="1" si="5"/>
        <v>0</v>
      </c>
      <c r="H23" t="b">
        <f t="shared" ca="1" si="6"/>
        <v>0</v>
      </c>
      <c r="I23" t="b">
        <f t="shared" ca="1" si="7"/>
        <v>0</v>
      </c>
      <c r="J23" t="b">
        <f t="shared" ca="1" si="8"/>
        <v>0</v>
      </c>
    </row>
    <row r="24" spans="1:10" x14ac:dyDescent="0.25">
      <c r="A24" s="13">
        <f t="shared" si="9"/>
        <v>41540</v>
      </c>
      <c r="B24" s="13" t="b">
        <f t="shared" ca="1" si="0"/>
        <v>0</v>
      </c>
      <c r="C24" s="13" t="b">
        <f t="shared" ca="1" si="1"/>
        <v>0</v>
      </c>
      <c r="D24" s="13" t="b">
        <f t="shared" ca="1" si="2"/>
        <v>0</v>
      </c>
      <c r="E24" s="13" t="b">
        <f t="shared" ca="1" si="3"/>
        <v>0</v>
      </c>
      <c r="F24" s="13" t="b">
        <f t="shared" ca="1" si="4"/>
        <v>0</v>
      </c>
      <c r="G24" t="b">
        <f t="shared" ca="1" si="5"/>
        <v>0</v>
      </c>
      <c r="H24" t="b">
        <f t="shared" ca="1" si="6"/>
        <v>0</v>
      </c>
      <c r="I24" t="b">
        <f t="shared" ca="1" si="7"/>
        <v>0</v>
      </c>
      <c r="J24" t="b">
        <f t="shared" ca="1" si="8"/>
        <v>0</v>
      </c>
    </row>
    <row r="25" spans="1:10" x14ac:dyDescent="0.25">
      <c r="A25" s="13">
        <f t="shared" si="9"/>
        <v>41541</v>
      </c>
      <c r="B25" s="13" t="b">
        <f t="shared" ca="1" si="0"/>
        <v>0</v>
      </c>
      <c r="C25" s="13" t="b">
        <f t="shared" ca="1" si="1"/>
        <v>0</v>
      </c>
      <c r="D25" s="13" t="b">
        <f t="shared" ca="1" si="2"/>
        <v>0</v>
      </c>
      <c r="E25" s="13" t="b">
        <f t="shared" ca="1" si="3"/>
        <v>0</v>
      </c>
      <c r="F25" s="13" t="b">
        <f t="shared" ca="1" si="4"/>
        <v>0</v>
      </c>
      <c r="G25" t="b">
        <f t="shared" ca="1" si="5"/>
        <v>0</v>
      </c>
      <c r="H25" t="b">
        <f t="shared" ca="1" si="6"/>
        <v>0</v>
      </c>
      <c r="I25" t="b">
        <f t="shared" ca="1" si="7"/>
        <v>0</v>
      </c>
      <c r="J25" t="b">
        <f t="shared" ca="1" si="8"/>
        <v>0</v>
      </c>
    </row>
    <row r="26" spans="1:10" x14ac:dyDescent="0.25">
      <c r="A26" s="13">
        <f t="shared" si="9"/>
        <v>41542</v>
      </c>
      <c r="B26" s="13" t="b">
        <f t="shared" ca="1" si="0"/>
        <v>0</v>
      </c>
      <c r="C26" s="13" t="b">
        <f t="shared" ca="1" si="1"/>
        <v>0</v>
      </c>
      <c r="D26" s="13" t="b">
        <f t="shared" ca="1" si="2"/>
        <v>0</v>
      </c>
      <c r="E26" s="13" t="b">
        <f t="shared" ca="1" si="3"/>
        <v>0</v>
      </c>
      <c r="F26" s="13" t="b">
        <f t="shared" ca="1" si="4"/>
        <v>0</v>
      </c>
      <c r="G26" t="b">
        <f t="shared" ca="1" si="5"/>
        <v>0</v>
      </c>
      <c r="H26" t="b">
        <f t="shared" ca="1" si="6"/>
        <v>0</v>
      </c>
      <c r="I26" t="b">
        <f t="shared" ca="1" si="7"/>
        <v>0</v>
      </c>
      <c r="J26" t="b">
        <f t="shared" ca="1" si="8"/>
        <v>0</v>
      </c>
    </row>
    <row r="27" spans="1:10" x14ac:dyDescent="0.25">
      <c r="A27" s="13">
        <f t="shared" si="9"/>
        <v>41543</v>
      </c>
      <c r="B27" s="13" t="b">
        <f t="shared" ca="1" si="0"/>
        <v>0</v>
      </c>
      <c r="C27" s="13" t="b">
        <f t="shared" ca="1" si="1"/>
        <v>0</v>
      </c>
      <c r="D27" s="13" t="b">
        <f t="shared" ca="1" si="2"/>
        <v>0</v>
      </c>
      <c r="E27" s="13" t="b">
        <f t="shared" ca="1" si="3"/>
        <v>0</v>
      </c>
      <c r="F27" s="13" t="b">
        <f t="shared" ca="1" si="4"/>
        <v>0</v>
      </c>
      <c r="G27" t="b">
        <f t="shared" ca="1" si="5"/>
        <v>0</v>
      </c>
      <c r="H27" t="b">
        <f t="shared" ca="1" si="6"/>
        <v>0</v>
      </c>
      <c r="I27" t="b">
        <f t="shared" ca="1" si="7"/>
        <v>0</v>
      </c>
      <c r="J27" t="b">
        <f t="shared" ca="1" si="8"/>
        <v>0</v>
      </c>
    </row>
    <row r="28" spans="1:10" x14ac:dyDescent="0.25">
      <c r="A28" s="13">
        <f t="shared" si="9"/>
        <v>41544</v>
      </c>
      <c r="B28" s="13" t="b">
        <f t="shared" ca="1" si="0"/>
        <v>0</v>
      </c>
      <c r="C28" s="13" t="b">
        <f t="shared" ca="1" si="1"/>
        <v>0</v>
      </c>
      <c r="D28" s="13" t="b">
        <f t="shared" ca="1" si="2"/>
        <v>0</v>
      </c>
      <c r="E28" s="13" t="b">
        <f t="shared" ca="1" si="3"/>
        <v>0</v>
      </c>
      <c r="F28" s="13" t="b">
        <f t="shared" ca="1" si="4"/>
        <v>0</v>
      </c>
      <c r="G28" t="b">
        <f t="shared" ca="1" si="5"/>
        <v>0</v>
      </c>
      <c r="H28" t="b">
        <f t="shared" ca="1" si="6"/>
        <v>0</v>
      </c>
      <c r="I28" t="b">
        <f t="shared" ca="1" si="7"/>
        <v>0</v>
      </c>
      <c r="J28" t="b">
        <f t="shared" ca="1" si="8"/>
        <v>0</v>
      </c>
    </row>
    <row r="29" spans="1:10" x14ac:dyDescent="0.25">
      <c r="A29" s="13">
        <f t="shared" si="9"/>
        <v>41545</v>
      </c>
      <c r="B29" s="13" t="b">
        <f t="shared" ca="1" si="0"/>
        <v>0</v>
      </c>
      <c r="C29" s="13" t="b">
        <f t="shared" ca="1" si="1"/>
        <v>0</v>
      </c>
      <c r="D29" s="13" t="b">
        <f t="shared" ca="1" si="2"/>
        <v>0</v>
      </c>
      <c r="E29" s="13" t="b">
        <f t="shared" ca="1" si="3"/>
        <v>0</v>
      </c>
      <c r="F29" s="13" t="b">
        <f t="shared" ca="1" si="4"/>
        <v>0</v>
      </c>
      <c r="G29" t="b">
        <f t="shared" ca="1" si="5"/>
        <v>0</v>
      </c>
      <c r="H29" t="b">
        <f t="shared" ca="1" si="6"/>
        <v>0</v>
      </c>
      <c r="I29" t="b">
        <f t="shared" ca="1" si="7"/>
        <v>0</v>
      </c>
      <c r="J29" t="b">
        <f t="shared" ca="1" si="8"/>
        <v>0</v>
      </c>
    </row>
    <row r="30" spans="1:10" x14ac:dyDescent="0.25">
      <c r="A30" s="13">
        <f t="shared" si="9"/>
        <v>41546</v>
      </c>
      <c r="B30" s="13" t="b">
        <f t="shared" ca="1" si="0"/>
        <v>0</v>
      </c>
      <c r="C30" s="13" t="b">
        <f t="shared" ca="1" si="1"/>
        <v>0</v>
      </c>
      <c r="D30" s="13" t="b">
        <f t="shared" ca="1" si="2"/>
        <v>0</v>
      </c>
      <c r="E30" s="13" t="b">
        <f t="shared" ca="1" si="3"/>
        <v>0</v>
      </c>
      <c r="F30" s="13" t="b">
        <f t="shared" ca="1" si="4"/>
        <v>0</v>
      </c>
      <c r="G30" t="b">
        <f t="shared" ca="1" si="5"/>
        <v>0</v>
      </c>
      <c r="H30" t="b">
        <f t="shared" ca="1" si="6"/>
        <v>0</v>
      </c>
      <c r="I30" t="b">
        <f t="shared" ca="1" si="7"/>
        <v>0</v>
      </c>
      <c r="J30" t="b">
        <f t="shared" ca="1" si="8"/>
        <v>0</v>
      </c>
    </row>
    <row r="31" spans="1:10" x14ac:dyDescent="0.25">
      <c r="A31" s="13">
        <f t="shared" si="9"/>
        <v>41547</v>
      </c>
      <c r="B31" s="13" t="b">
        <f t="shared" ca="1" si="0"/>
        <v>0</v>
      </c>
      <c r="C31" s="13" t="b">
        <f t="shared" ca="1" si="1"/>
        <v>0</v>
      </c>
      <c r="D31" s="13" t="b">
        <f t="shared" ca="1" si="2"/>
        <v>0</v>
      </c>
      <c r="E31" s="13" t="b">
        <f t="shared" ca="1" si="3"/>
        <v>0</v>
      </c>
      <c r="F31" s="13" t="b">
        <f t="shared" ca="1" si="4"/>
        <v>0</v>
      </c>
      <c r="G31" t="b">
        <f t="shared" ca="1" si="5"/>
        <v>0</v>
      </c>
      <c r="H31" t="b">
        <f t="shared" ca="1" si="6"/>
        <v>0</v>
      </c>
      <c r="I31" t="b">
        <f t="shared" ca="1" si="7"/>
        <v>0</v>
      </c>
      <c r="J31" t="b">
        <f t="shared" ca="1" si="8"/>
        <v>0</v>
      </c>
    </row>
    <row r="32" spans="1:10" x14ac:dyDescent="0.25">
      <c r="A32" s="13">
        <f t="shared" si="9"/>
        <v>41548</v>
      </c>
      <c r="B32" s="13" t="b">
        <f t="shared" ca="1" si="0"/>
        <v>0</v>
      </c>
      <c r="C32" s="13" t="b">
        <f t="shared" ca="1" si="1"/>
        <v>0</v>
      </c>
      <c r="D32" s="13" t="b">
        <f t="shared" ca="1" si="2"/>
        <v>0</v>
      </c>
      <c r="E32" s="13" t="b">
        <f t="shared" ca="1" si="3"/>
        <v>0</v>
      </c>
      <c r="F32" s="13" t="b">
        <f t="shared" ca="1" si="4"/>
        <v>0</v>
      </c>
      <c r="G32" t="b">
        <f t="shared" ca="1" si="5"/>
        <v>0</v>
      </c>
      <c r="H32" t="b">
        <f t="shared" ca="1" si="6"/>
        <v>0</v>
      </c>
      <c r="I32" t="b">
        <f t="shared" ca="1" si="7"/>
        <v>0</v>
      </c>
      <c r="J32" t="b">
        <f t="shared" ca="1" si="8"/>
        <v>0</v>
      </c>
    </row>
    <row r="33" spans="1:10" x14ac:dyDescent="0.25">
      <c r="A33" s="13">
        <f t="shared" si="9"/>
        <v>41549</v>
      </c>
      <c r="B33" s="13" t="b">
        <f t="shared" ca="1" si="0"/>
        <v>0</v>
      </c>
      <c r="C33" s="13" t="b">
        <f t="shared" ca="1" si="1"/>
        <v>0</v>
      </c>
      <c r="D33" s="13" t="b">
        <f t="shared" ca="1" si="2"/>
        <v>0</v>
      </c>
      <c r="E33" s="13" t="b">
        <f t="shared" ca="1" si="3"/>
        <v>0</v>
      </c>
      <c r="F33" s="13" t="b">
        <f t="shared" ca="1" si="4"/>
        <v>0</v>
      </c>
      <c r="G33" t="b">
        <f t="shared" ca="1" si="5"/>
        <v>0</v>
      </c>
      <c r="H33" t="b">
        <f t="shared" ca="1" si="6"/>
        <v>0</v>
      </c>
      <c r="I33" t="b">
        <f t="shared" ca="1" si="7"/>
        <v>0</v>
      </c>
      <c r="J33" t="b">
        <f t="shared" ca="1" si="8"/>
        <v>0</v>
      </c>
    </row>
    <row r="34" spans="1:10" x14ac:dyDescent="0.25">
      <c r="A34" s="13">
        <f t="shared" si="9"/>
        <v>41550</v>
      </c>
      <c r="B34" s="13" t="b">
        <f t="shared" ca="1" si="0"/>
        <v>0</v>
      </c>
      <c r="C34" s="13" t="b">
        <f t="shared" ca="1" si="1"/>
        <v>0</v>
      </c>
      <c r="D34" s="13" t="b">
        <f t="shared" ca="1" si="2"/>
        <v>0</v>
      </c>
      <c r="E34" s="13" t="b">
        <f t="shared" ca="1" si="3"/>
        <v>0</v>
      </c>
      <c r="F34" s="13" t="b">
        <f t="shared" ca="1" si="4"/>
        <v>0</v>
      </c>
      <c r="G34" t="b">
        <f t="shared" ca="1" si="5"/>
        <v>0</v>
      </c>
      <c r="H34" t="b">
        <f t="shared" ca="1" si="6"/>
        <v>0</v>
      </c>
      <c r="I34" t="b">
        <f t="shared" ca="1" si="7"/>
        <v>0</v>
      </c>
      <c r="J34" t="b">
        <f t="shared" ca="1" si="8"/>
        <v>0</v>
      </c>
    </row>
    <row r="35" spans="1:10" x14ac:dyDescent="0.25">
      <c r="A35" s="13">
        <f t="shared" si="9"/>
        <v>41551</v>
      </c>
      <c r="B35" s="13" t="b">
        <f t="shared" ca="1" si="0"/>
        <v>0</v>
      </c>
      <c r="C35" s="13" t="b">
        <f t="shared" ca="1" si="1"/>
        <v>0</v>
      </c>
      <c r="D35" s="13" t="b">
        <f t="shared" ca="1" si="2"/>
        <v>0</v>
      </c>
      <c r="E35" s="13" t="b">
        <f t="shared" ca="1" si="3"/>
        <v>0</v>
      </c>
      <c r="F35" s="13" t="b">
        <f t="shared" ca="1" si="4"/>
        <v>0</v>
      </c>
      <c r="G35" t="b">
        <f t="shared" ca="1" si="5"/>
        <v>0</v>
      </c>
      <c r="H35" t="b">
        <f t="shared" ca="1" si="6"/>
        <v>0</v>
      </c>
      <c r="I35" t="b">
        <f t="shared" ca="1" si="7"/>
        <v>0</v>
      </c>
      <c r="J35" t="b">
        <f t="shared" ca="1" si="8"/>
        <v>0</v>
      </c>
    </row>
    <row r="36" spans="1:10" x14ac:dyDescent="0.25">
      <c r="A36" s="13">
        <f t="shared" si="9"/>
        <v>41552</v>
      </c>
      <c r="B36" s="13" t="b">
        <f t="shared" ca="1" si="0"/>
        <v>0</v>
      </c>
      <c r="C36" s="13" t="b">
        <f t="shared" ca="1" si="1"/>
        <v>0</v>
      </c>
      <c r="D36" s="13" t="b">
        <f t="shared" ca="1" si="2"/>
        <v>0</v>
      </c>
      <c r="E36" s="13" t="b">
        <f t="shared" ca="1" si="3"/>
        <v>0</v>
      </c>
      <c r="F36" s="13" t="b">
        <f t="shared" ca="1" si="4"/>
        <v>0</v>
      </c>
      <c r="G36" t="b">
        <f t="shared" ca="1" si="5"/>
        <v>0</v>
      </c>
      <c r="H36" t="b">
        <f t="shared" ca="1" si="6"/>
        <v>0</v>
      </c>
      <c r="I36" t="b">
        <f t="shared" ca="1" si="7"/>
        <v>0</v>
      </c>
      <c r="J36" t="b">
        <f t="shared" ca="1" si="8"/>
        <v>0</v>
      </c>
    </row>
    <row r="37" spans="1:10" x14ac:dyDescent="0.25">
      <c r="A37" s="13">
        <f t="shared" si="9"/>
        <v>41553</v>
      </c>
      <c r="B37" s="13" t="b">
        <f t="shared" ca="1" si="0"/>
        <v>0</v>
      </c>
      <c r="C37" s="13" t="b">
        <f t="shared" ca="1" si="1"/>
        <v>0</v>
      </c>
      <c r="D37" s="13" t="b">
        <f t="shared" ca="1" si="2"/>
        <v>0</v>
      </c>
      <c r="E37" s="13" t="b">
        <f t="shared" ca="1" si="3"/>
        <v>0</v>
      </c>
      <c r="F37" s="13" t="b">
        <f t="shared" ca="1" si="4"/>
        <v>0</v>
      </c>
      <c r="G37" t="b">
        <f t="shared" ca="1" si="5"/>
        <v>0</v>
      </c>
      <c r="H37" t="b">
        <f t="shared" ca="1" si="6"/>
        <v>0</v>
      </c>
      <c r="I37" t="b">
        <f t="shared" ca="1" si="7"/>
        <v>0</v>
      </c>
      <c r="J37" t="b">
        <f t="shared" ca="1" si="8"/>
        <v>0</v>
      </c>
    </row>
    <row r="38" spans="1:10" x14ac:dyDescent="0.25">
      <c r="A38" s="13">
        <f t="shared" si="9"/>
        <v>41554</v>
      </c>
      <c r="B38" s="13" t="b">
        <f t="shared" ca="1" si="0"/>
        <v>0</v>
      </c>
      <c r="C38" s="13" t="b">
        <f t="shared" ca="1" si="1"/>
        <v>0</v>
      </c>
      <c r="D38" s="13" t="b">
        <f t="shared" ca="1" si="2"/>
        <v>0</v>
      </c>
      <c r="E38" s="13" t="b">
        <f t="shared" ca="1" si="3"/>
        <v>0</v>
      </c>
      <c r="F38" s="13" t="b">
        <f t="shared" ca="1" si="4"/>
        <v>0</v>
      </c>
      <c r="G38" t="b">
        <f t="shared" ca="1" si="5"/>
        <v>0</v>
      </c>
      <c r="H38" t="b">
        <f t="shared" ca="1" si="6"/>
        <v>0</v>
      </c>
      <c r="I38" t="b">
        <f t="shared" ca="1" si="7"/>
        <v>0</v>
      </c>
      <c r="J38" t="b">
        <f t="shared" ca="1" si="8"/>
        <v>0</v>
      </c>
    </row>
    <row r="39" spans="1:10" x14ac:dyDescent="0.25">
      <c r="A39" s="13">
        <f t="shared" si="9"/>
        <v>41555</v>
      </c>
      <c r="B39" s="13" t="b">
        <f t="shared" ca="1" si="0"/>
        <v>0</v>
      </c>
      <c r="C39" s="13" t="b">
        <f t="shared" ca="1" si="1"/>
        <v>0</v>
      </c>
      <c r="D39" s="13" t="b">
        <f t="shared" ca="1" si="2"/>
        <v>0</v>
      </c>
      <c r="E39" s="13" t="b">
        <f t="shared" ca="1" si="3"/>
        <v>0</v>
      </c>
      <c r="F39" s="13" t="b">
        <f t="shared" ca="1" si="4"/>
        <v>0</v>
      </c>
      <c r="G39" t="b">
        <f t="shared" ca="1" si="5"/>
        <v>0</v>
      </c>
      <c r="H39" t="b">
        <f t="shared" ca="1" si="6"/>
        <v>0</v>
      </c>
      <c r="I39" t="b">
        <f t="shared" ca="1" si="7"/>
        <v>0</v>
      </c>
      <c r="J39" t="b">
        <f t="shared" ca="1" si="8"/>
        <v>0</v>
      </c>
    </row>
    <row r="40" spans="1:10" x14ac:dyDescent="0.25">
      <c r="A40" s="13">
        <f t="shared" si="9"/>
        <v>41556</v>
      </c>
      <c r="B40" s="13" t="b">
        <f t="shared" ca="1" si="0"/>
        <v>0</v>
      </c>
      <c r="C40" s="13" t="b">
        <f t="shared" ca="1" si="1"/>
        <v>0</v>
      </c>
      <c r="D40" s="13" t="b">
        <f t="shared" ca="1" si="2"/>
        <v>0</v>
      </c>
      <c r="E40" s="13" t="b">
        <f t="shared" ca="1" si="3"/>
        <v>0</v>
      </c>
      <c r="F40" s="13" t="b">
        <f t="shared" ca="1" si="4"/>
        <v>0</v>
      </c>
      <c r="G40" t="b">
        <f t="shared" ca="1" si="5"/>
        <v>0</v>
      </c>
      <c r="H40" t="b">
        <f t="shared" ca="1" si="6"/>
        <v>0</v>
      </c>
      <c r="I40" t="b">
        <f t="shared" ca="1" si="7"/>
        <v>0</v>
      </c>
      <c r="J40" t="b">
        <f t="shared" ca="1" si="8"/>
        <v>0</v>
      </c>
    </row>
    <row r="41" spans="1:10" x14ac:dyDescent="0.25">
      <c r="A41" s="13">
        <f t="shared" si="9"/>
        <v>41557</v>
      </c>
      <c r="B41" s="13" t="b">
        <f t="shared" ca="1" si="0"/>
        <v>0</v>
      </c>
      <c r="C41" s="13" t="b">
        <f t="shared" ca="1" si="1"/>
        <v>0</v>
      </c>
      <c r="D41" s="13" t="b">
        <f t="shared" ca="1" si="2"/>
        <v>0</v>
      </c>
      <c r="E41" s="13" t="b">
        <f t="shared" ca="1" si="3"/>
        <v>0</v>
      </c>
      <c r="F41" s="13" t="b">
        <f t="shared" ca="1" si="4"/>
        <v>0</v>
      </c>
      <c r="G41" t="b">
        <f t="shared" ca="1" si="5"/>
        <v>0</v>
      </c>
      <c r="H41" t="b">
        <f t="shared" ca="1" si="6"/>
        <v>0</v>
      </c>
      <c r="I41" t="b">
        <f t="shared" ca="1" si="7"/>
        <v>0</v>
      </c>
      <c r="J41" t="b">
        <f t="shared" ca="1" si="8"/>
        <v>0</v>
      </c>
    </row>
    <row r="42" spans="1:10" x14ac:dyDescent="0.25">
      <c r="A42" s="13">
        <f t="shared" si="9"/>
        <v>41558</v>
      </c>
      <c r="B42" s="13" t="b">
        <f t="shared" ca="1" si="0"/>
        <v>0</v>
      </c>
      <c r="C42" s="13" t="b">
        <f t="shared" ca="1" si="1"/>
        <v>0</v>
      </c>
      <c r="D42" s="13" t="b">
        <f t="shared" ca="1" si="2"/>
        <v>0</v>
      </c>
      <c r="E42" s="13" t="b">
        <f t="shared" ca="1" si="3"/>
        <v>0</v>
      </c>
      <c r="F42" s="13" t="b">
        <f t="shared" ca="1" si="4"/>
        <v>0</v>
      </c>
      <c r="G42" t="b">
        <f t="shared" ca="1" si="5"/>
        <v>0</v>
      </c>
      <c r="H42" t="b">
        <f t="shared" ca="1" si="6"/>
        <v>0</v>
      </c>
      <c r="I42" t="b">
        <f t="shared" ca="1" si="7"/>
        <v>0</v>
      </c>
      <c r="J42" t="b">
        <f t="shared" ca="1" si="8"/>
        <v>0</v>
      </c>
    </row>
    <row r="43" spans="1:10" x14ac:dyDescent="0.25">
      <c r="A43" s="13">
        <f t="shared" si="9"/>
        <v>41559</v>
      </c>
      <c r="B43" s="13" t="b">
        <f t="shared" ca="1" si="0"/>
        <v>0</v>
      </c>
      <c r="C43" s="13" t="b">
        <f t="shared" ca="1" si="1"/>
        <v>0</v>
      </c>
      <c r="D43" s="13" t="b">
        <f t="shared" ca="1" si="2"/>
        <v>0</v>
      </c>
      <c r="E43" s="13" t="b">
        <f t="shared" ca="1" si="3"/>
        <v>0</v>
      </c>
      <c r="F43" s="13" t="b">
        <f t="shared" ca="1" si="4"/>
        <v>0</v>
      </c>
      <c r="G43" t="b">
        <f t="shared" ca="1" si="5"/>
        <v>0</v>
      </c>
      <c r="H43" t="b">
        <f t="shared" ca="1" si="6"/>
        <v>0</v>
      </c>
      <c r="I43" t="b">
        <f t="shared" ca="1" si="7"/>
        <v>0</v>
      </c>
      <c r="J43" t="b">
        <f t="shared" ca="1" si="8"/>
        <v>0</v>
      </c>
    </row>
    <row r="44" spans="1:10" x14ac:dyDescent="0.25">
      <c r="A44" s="13">
        <f t="shared" si="9"/>
        <v>41560</v>
      </c>
      <c r="B44" s="13" t="b">
        <f t="shared" ca="1" si="0"/>
        <v>0</v>
      </c>
      <c r="C44" s="13" t="b">
        <f t="shared" ca="1" si="1"/>
        <v>0</v>
      </c>
      <c r="D44" s="13" t="b">
        <f t="shared" ca="1" si="2"/>
        <v>0</v>
      </c>
      <c r="E44" s="13" t="b">
        <f t="shared" ca="1" si="3"/>
        <v>0</v>
      </c>
      <c r="F44" s="13" t="b">
        <f t="shared" ca="1" si="4"/>
        <v>0</v>
      </c>
      <c r="G44" t="b">
        <f t="shared" ca="1" si="5"/>
        <v>0</v>
      </c>
      <c r="H44" t="b">
        <f t="shared" ca="1" si="6"/>
        <v>0</v>
      </c>
      <c r="I44" t="b">
        <f t="shared" ca="1" si="7"/>
        <v>0</v>
      </c>
      <c r="J44" t="b">
        <f t="shared" ca="1" si="8"/>
        <v>0</v>
      </c>
    </row>
    <row r="45" spans="1:10" x14ac:dyDescent="0.25">
      <c r="A45" s="13">
        <f t="shared" si="9"/>
        <v>41561</v>
      </c>
      <c r="B45" s="13" t="b">
        <f t="shared" ca="1" si="0"/>
        <v>0</v>
      </c>
      <c r="C45" s="13" t="b">
        <f t="shared" ca="1" si="1"/>
        <v>0</v>
      </c>
      <c r="D45" s="13" t="b">
        <f t="shared" ca="1" si="2"/>
        <v>0</v>
      </c>
      <c r="E45" s="13" t="b">
        <f t="shared" ca="1" si="3"/>
        <v>0</v>
      </c>
      <c r="F45" s="13" t="b">
        <f t="shared" ca="1" si="4"/>
        <v>0</v>
      </c>
      <c r="G45" t="b">
        <f t="shared" ca="1" si="5"/>
        <v>0</v>
      </c>
      <c r="H45" t="b">
        <f t="shared" ca="1" si="6"/>
        <v>0</v>
      </c>
      <c r="I45" t="b">
        <f t="shared" ca="1" si="7"/>
        <v>0</v>
      </c>
      <c r="J45" t="b">
        <f t="shared" ca="1" si="8"/>
        <v>0</v>
      </c>
    </row>
    <row r="46" spans="1:10" x14ac:dyDescent="0.25">
      <c r="A46" s="13">
        <f t="shared" si="9"/>
        <v>41562</v>
      </c>
      <c r="B46" s="13" t="b">
        <f t="shared" ca="1" si="0"/>
        <v>0</v>
      </c>
      <c r="C46" s="13" t="b">
        <f t="shared" ca="1" si="1"/>
        <v>0</v>
      </c>
      <c r="D46" s="13" t="b">
        <f t="shared" ca="1" si="2"/>
        <v>0</v>
      </c>
      <c r="E46" s="13" t="b">
        <f t="shared" ca="1" si="3"/>
        <v>0</v>
      </c>
      <c r="F46" s="13" t="b">
        <f t="shared" ca="1" si="4"/>
        <v>0</v>
      </c>
      <c r="G46" t="b">
        <f t="shared" ca="1" si="5"/>
        <v>0</v>
      </c>
      <c r="H46" t="b">
        <f t="shared" ca="1" si="6"/>
        <v>0</v>
      </c>
      <c r="I46" t="b">
        <f t="shared" ca="1" si="7"/>
        <v>0</v>
      </c>
      <c r="J46" t="b">
        <f t="shared" ca="1" si="8"/>
        <v>0</v>
      </c>
    </row>
    <row r="47" spans="1:10" x14ac:dyDescent="0.25">
      <c r="A47" s="13">
        <f t="shared" si="9"/>
        <v>41563</v>
      </c>
      <c r="B47" s="13" t="b">
        <f t="shared" ca="1" si="0"/>
        <v>0</v>
      </c>
      <c r="C47" s="13" t="b">
        <f t="shared" ca="1" si="1"/>
        <v>0</v>
      </c>
      <c r="D47" s="13" t="b">
        <f t="shared" ca="1" si="2"/>
        <v>0</v>
      </c>
      <c r="E47" s="13" t="b">
        <f t="shared" ca="1" si="3"/>
        <v>0</v>
      </c>
      <c r="F47" s="13" t="b">
        <f t="shared" ca="1" si="4"/>
        <v>0</v>
      </c>
      <c r="G47" t="b">
        <f t="shared" ca="1" si="5"/>
        <v>0</v>
      </c>
      <c r="H47" t="b">
        <f t="shared" ca="1" si="6"/>
        <v>0</v>
      </c>
      <c r="I47" t="b">
        <f t="shared" ca="1" si="7"/>
        <v>0</v>
      </c>
      <c r="J47" t="b">
        <f t="shared" ca="1" si="8"/>
        <v>0</v>
      </c>
    </row>
    <row r="48" spans="1:10" x14ac:dyDescent="0.25">
      <c r="A48" s="13">
        <f t="shared" si="9"/>
        <v>41564</v>
      </c>
      <c r="B48" s="13" t="b">
        <f t="shared" ca="1" si="0"/>
        <v>0</v>
      </c>
      <c r="C48" s="13" t="b">
        <f t="shared" ca="1" si="1"/>
        <v>0</v>
      </c>
      <c r="D48" s="13" t="b">
        <f t="shared" ca="1" si="2"/>
        <v>0</v>
      </c>
      <c r="E48" s="13" t="b">
        <f t="shared" ca="1" si="3"/>
        <v>0</v>
      </c>
      <c r="F48" s="13" t="b">
        <f t="shared" ca="1" si="4"/>
        <v>0</v>
      </c>
      <c r="G48" t="b">
        <f t="shared" ca="1" si="5"/>
        <v>0</v>
      </c>
      <c r="H48" t="b">
        <f t="shared" ca="1" si="6"/>
        <v>0</v>
      </c>
      <c r="I48" t="b">
        <f t="shared" ca="1" si="7"/>
        <v>0</v>
      </c>
      <c r="J48" t="b">
        <f t="shared" ca="1" si="8"/>
        <v>0</v>
      </c>
    </row>
    <row r="49" spans="1:10" x14ac:dyDescent="0.25">
      <c r="A49" s="13">
        <f t="shared" si="9"/>
        <v>41565</v>
      </c>
      <c r="B49" s="13" t="b">
        <f t="shared" ca="1" si="0"/>
        <v>0</v>
      </c>
      <c r="C49" s="13" t="b">
        <f t="shared" ca="1" si="1"/>
        <v>0</v>
      </c>
      <c r="D49" s="13" t="b">
        <f t="shared" ca="1" si="2"/>
        <v>0</v>
      </c>
      <c r="E49" s="13" t="b">
        <f t="shared" ca="1" si="3"/>
        <v>0</v>
      </c>
      <c r="F49" s="13" t="b">
        <f t="shared" ca="1" si="4"/>
        <v>0</v>
      </c>
      <c r="G49" t="b">
        <f t="shared" ca="1" si="5"/>
        <v>0</v>
      </c>
      <c r="H49" t="b">
        <f t="shared" ca="1" si="6"/>
        <v>0</v>
      </c>
      <c r="I49" t="b">
        <f t="shared" ca="1" si="7"/>
        <v>0</v>
      </c>
      <c r="J49" t="b">
        <f t="shared" ca="1" si="8"/>
        <v>0</v>
      </c>
    </row>
    <row r="50" spans="1:10" x14ac:dyDescent="0.25">
      <c r="A50" s="13">
        <f t="shared" si="9"/>
        <v>41566</v>
      </c>
      <c r="B50" s="13" t="b">
        <f t="shared" ca="1" si="0"/>
        <v>0</v>
      </c>
      <c r="C50" s="13" t="b">
        <f t="shared" ca="1" si="1"/>
        <v>0</v>
      </c>
      <c r="D50" s="13" t="b">
        <f t="shared" ca="1" si="2"/>
        <v>0</v>
      </c>
      <c r="E50" s="13" t="b">
        <f t="shared" ca="1" si="3"/>
        <v>0</v>
      </c>
      <c r="F50" s="13" t="b">
        <f t="shared" ca="1" si="4"/>
        <v>0</v>
      </c>
      <c r="G50" t="b">
        <f t="shared" ca="1" si="5"/>
        <v>0</v>
      </c>
      <c r="H50" t="b">
        <f t="shared" ca="1" si="6"/>
        <v>0</v>
      </c>
      <c r="I50" t="b">
        <f t="shared" ca="1" si="7"/>
        <v>0</v>
      </c>
      <c r="J50" t="b">
        <f t="shared" ca="1" si="8"/>
        <v>0</v>
      </c>
    </row>
    <row r="51" spans="1:10" x14ac:dyDescent="0.25">
      <c r="A51" s="13">
        <f t="shared" si="9"/>
        <v>41567</v>
      </c>
      <c r="B51" s="13" t="b">
        <f t="shared" ca="1" si="0"/>
        <v>0</v>
      </c>
      <c r="C51" s="13" t="b">
        <f t="shared" ca="1" si="1"/>
        <v>0</v>
      </c>
      <c r="D51" s="13" t="b">
        <f t="shared" ca="1" si="2"/>
        <v>0</v>
      </c>
      <c r="E51" s="13" t="b">
        <f t="shared" ca="1" si="3"/>
        <v>0</v>
      </c>
      <c r="F51" s="13" t="b">
        <f t="shared" ca="1" si="4"/>
        <v>0</v>
      </c>
      <c r="G51" t="b">
        <f t="shared" ca="1" si="5"/>
        <v>0</v>
      </c>
      <c r="H51" t="b">
        <f t="shared" ca="1" si="6"/>
        <v>0</v>
      </c>
      <c r="I51" t="b">
        <f t="shared" ca="1" si="7"/>
        <v>0</v>
      </c>
      <c r="J51" t="b">
        <f t="shared" ca="1" si="8"/>
        <v>0</v>
      </c>
    </row>
    <row r="52" spans="1:10" x14ac:dyDescent="0.25">
      <c r="A52" s="13">
        <f t="shared" si="9"/>
        <v>41568</v>
      </c>
      <c r="B52" s="13" t="b">
        <f t="shared" ca="1" si="0"/>
        <v>0</v>
      </c>
      <c r="C52" s="13" t="b">
        <f t="shared" ca="1" si="1"/>
        <v>0</v>
      </c>
      <c r="D52" s="13" t="b">
        <f t="shared" ca="1" si="2"/>
        <v>0</v>
      </c>
      <c r="E52" s="13" t="b">
        <f t="shared" ca="1" si="3"/>
        <v>0</v>
      </c>
      <c r="F52" s="13" t="b">
        <f t="shared" ca="1" si="4"/>
        <v>0</v>
      </c>
      <c r="G52" t="b">
        <f t="shared" ca="1" si="5"/>
        <v>0</v>
      </c>
      <c r="H52" t="b">
        <f t="shared" ca="1" si="6"/>
        <v>0</v>
      </c>
      <c r="I52" t="b">
        <f t="shared" ca="1" si="7"/>
        <v>0</v>
      </c>
      <c r="J52" t="b">
        <f t="shared" ca="1" si="8"/>
        <v>0</v>
      </c>
    </row>
    <row r="53" spans="1:10" x14ac:dyDescent="0.25">
      <c r="A53" s="13">
        <f t="shared" si="9"/>
        <v>41569</v>
      </c>
      <c r="B53" s="13" t="b">
        <f t="shared" ca="1" si="0"/>
        <v>0</v>
      </c>
      <c r="C53" s="13" t="b">
        <f t="shared" ca="1" si="1"/>
        <v>0</v>
      </c>
      <c r="D53" s="13" t="b">
        <f t="shared" ca="1" si="2"/>
        <v>0</v>
      </c>
      <c r="E53" s="13" t="b">
        <f t="shared" ca="1" si="3"/>
        <v>0</v>
      </c>
      <c r="F53" s="13" t="b">
        <f t="shared" ca="1" si="4"/>
        <v>0</v>
      </c>
      <c r="G53" t="b">
        <f t="shared" ca="1" si="5"/>
        <v>0</v>
      </c>
      <c r="H53" t="b">
        <f t="shared" ca="1" si="6"/>
        <v>0</v>
      </c>
      <c r="I53" t="b">
        <f t="shared" ca="1" si="7"/>
        <v>0</v>
      </c>
      <c r="J53" t="b">
        <f t="shared" ca="1" si="8"/>
        <v>0</v>
      </c>
    </row>
    <row r="54" spans="1:10" x14ac:dyDescent="0.25">
      <c r="A54" s="13">
        <f t="shared" si="9"/>
        <v>41570</v>
      </c>
      <c r="B54" s="13" t="b">
        <f t="shared" ca="1" si="0"/>
        <v>0</v>
      </c>
      <c r="C54" s="13" t="b">
        <f t="shared" ca="1" si="1"/>
        <v>0</v>
      </c>
      <c r="D54" s="13" t="b">
        <f t="shared" ca="1" si="2"/>
        <v>0</v>
      </c>
      <c r="E54" s="13" t="b">
        <f t="shared" ca="1" si="3"/>
        <v>0</v>
      </c>
      <c r="F54" s="13" t="b">
        <f t="shared" ca="1" si="4"/>
        <v>0</v>
      </c>
      <c r="G54" t="b">
        <f t="shared" ca="1" si="5"/>
        <v>0</v>
      </c>
      <c r="H54" t="b">
        <f t="shared" ca="1" si="6"/>
        <v>0</v>
      </c>
      <c r="I54" t="b">
        <f t="shared" ca="1" si="7"/>
        <v>0</v>
      </c>
      <c r="J54" t="b">
        <f t="shared" ca="1" si="8"/>
        <v>0</v>
      </c>
    </row>
    <row r="55" spans="1:10" x14ac:dyDescent="0.25">
      <c r="A55" s="13">
        <f t="shared" si="9"/>
        <v>41571</v>
      </c>
      <c r="B55" s="13" t="b">
        <f t="shared" ca="1" si="0"/>
        <v>0</v>
      </c>
      <c r="C55" s="13" t="b">
        <f t="shared" ca="1" si="1"/>
        <v>0</v>
      </c>
      <c r="D55" s="13" t="b">
        <f t="shared" ca="1" si="2"/>
        <v>0</v>
      </c>
      <c r="E55" s="13" t="b">
        <f t="shared" ca="1" si="3"/>
        <v>0</v>
      </c>
      <c r="F55" s="13" t="b">
        <f t="shared" ca="1" si="4"/>
        <v>0</v>
      </c>
      <c r="G55" t="b">
        <f t="shared" ca="1" si="5"/>
        <v>0</v>
      </c>
      <c r="H55" t="b">
        <f t="shared" ca="1" si="6"/>
        <v>0</v>
      </c>
      <c r="I55" t="b">
        <f t="shared" ca="1" si="7"/>
        <v>0</v>
      </c>
      <c r="J55" t="b">
        <f t="shared" ca="1" si="8"/>
        <v>0</v>
      </c>
    </row>
    <row r="56" spans="1:10" x14ac:dyDescent="0.25">
      <c r="A56" s="13">
        <f t="shared" si="9"/>
        <v>41572</v>
      </c>
      <c r="B56" s="13" t="b">
        <f t="shared" ca="1" si="0"/>
        <v>0</v>
      </c>
      <c r="C56" s="13" t="b">
        <f t="shared" ca="1" si="1"/>
        <v>0</v>
      </c>
      <c r="D56" s="13" t="b">
        <f t="shared" ca="1" si="2"/>
        <v>0</v>
      </c>
      <c r="E56" s="13" t="b">
        <f t="shared" ca="1" si="3"/>
        <v>0</v>
      </c>
      <c r="F56" s="13" t="b">
        <f t="shared" ca="1" si="4"/>
        <v>0</v>
      </c>
      <c r="G56" t="b">
        <f t="shared" ca="1" si="5"/>
        <v>0</v>
      </c>
      <c r="H56" t="b">
        <f t="shared" ca="1" si="6"/>
        <v>0</v>
      </c>
      <c r="I56" t="b">
        <f t="shared" ca="1" si="7"/>
        <v>0</v>
      </c>
      <c r="J56" t="b">
        <f t="shared" ca="1" si="8"/>
        <v>0</v>
      </c>
    </row>
    <row r="57" spans="1:10" x14ac:dyDescent="0.25">
      <c r="A57" s="13">
        <f t="shared" si="9"/>
        <v>41573</v>
      </c>
      <c r="B57" s="13" t="b">
        <f t="shared" ca="1" si="0"/>
        <v>0</v>
      </c>
      <c r="C57" s="13" t="b">
        <f t="shared" ca="1" si="1"/>
        <v>0</v>
      </c>
      <c r="D57" s="13" t="b">
        <f t="shared" ca="1" si="2"/>
        <v>0</v>
      </c>
      <c r="E57" s="13" t="b">
        <f t="shared" ca="1" si="3"/>
        <v>0</v>
      </c>
      <c r="F57" s="13" t="b">
        <f t="shared" ca="1" si="4"/>
        <v>0</v>
      </c>
      <c r="G57" t="b">
        <f t="shared" ca="1" si="5"/>
        <v>0</v>
      </c>
      <c r="H57" t="b">
        <f t="shared" ca="1" si="6"/>
        <v>0</v>
      </c>
      <c r="I57" t="b">
        <f t="shared" ca="1" si="7"/>
        <v>0</v>
      </c>
      <c r="J57" t="b">
        <f t="shared" ca="1" si="8"/>
        <v>0</v>
      </c>
    </row>
    <row r="58" spans="1:10" x14ac:dyDescent="0.25">
      <c r="A58" s="13">
        <f t="shared" si="9"/>
        <v>41574</v>
      </c>
      <c r="B58" s="13" t="b">
        <f t="shared" ca="1" si="0"/>
        <v>0</v>
      </c>
      <c r="C58" s="13" t="b">
        <f t="shared" ca="1" si="1"/>
        <v>0</v>
      </c>
      <c r="D58" s="13" t="b">
        <f t="shared" ca="1" si="2"/>
        <v>0</v>
      </c>
      <c r="E58" s="13" t="b">
        <f t="shared" ca="1" si="3"/>
        <v>0</v>
      </c>
      <c r="F58" s="13" t="b">
        <f t="shared" ca="1" si="4"/>
        <v>0</v>
      </c>
      <c r="G58" t="b">
        <f t="shared" ca="1" si="5"/>
        <v>0</v>
      </c>
      <c r="H58" t="b">
        <f t="shared" ca="1" si="6"/>
        <v>0</v>
      </c>
      <c r="I58" t="b">
        <f t="shared" ca="1" si="7"/>
        <v>0</v>
      </c>
      <c r="J58" t="b">
        <f t="shared" ca="1" si="8"/>
        <v>0</v>
      </c>
    </row>
    <row r="59" spans="1:10" x14ac:dyDescent="0.25">
      <c r="A59" s="13">
        <f t="shared" si="9"/>
        <v>41575</v>
      </c>
      <c r="B59" s="13" t="b">
        <f t="shared" ca="1" si="0"/>
        <v>0</v>
      </c>
      <c r="C59" s="13" t="b">
        <f t="shared" ca="1" si="1"/>
        <v>0</v>
      </c>
      <c r="D59" s="13" t="b">
        <f t="shared" ca="1" si="2"/>
        <v>0</v>
      </c>
      <c r="E59" s="13" t="b">
        <f t="shared" ca="1" si="3"/>
        <v>0</v>
      </c>
      <c r="F59" s="13" t="b">
        <f t="shared" ca="1" si="4"/>
        <v>0</v>
      </c>
      <c r="G59" t="b">
        <f t="shared" ca="1" si="5"/>
        <v>0</v>
      </c>
      <c r="H59" t="b">
        <f t="shared" ca="1" si="6"/>
        <v>0</v>
      </c>
      <c r="I59" t="b">
        <f t="shared" ca="1" si="7"/>
        <v>0</v>
      </c>
      <c r="J59" t="b">
        <f t="shared" ca="1" si="8"/>
        <v>0</v>
      </c>
    </row>
    <row r="60" spans="1:10" x14ac:dyDescent="0.25">
      <c r="A60" s="13">
        <f t="shared" si="9"/>
        <v>41576</v>
      </c>
      <c r="B60" s="13" t="b">
        <f t="shared" ca="1" si="0"/>
        <v>0</v>
      </c>
      <c r="C60" s="13" t="b">
        <f t="shared" ca="1" si="1"/>
        <v>0</v>
      </c>
      <c r="D60" s="13" t="b">
        <f t="shared" ca="1" si="2"/>
        <v>0</v>
      </c>
      <c r="E60" s="13" t="b">
        <f t="shared" ca="1" si="3"/>
        <v>0</v>
      </c>
      <c r="F60" s="13" t="b">
        <f t="shared" ca="1" si="4"/>
        <v>0</v>
      </c>
      <c r="G60" t="b">
        <f t="shared" ca="1" si="5"/>
        <v>0</v>
      </c>
      <c r="H60" t="b">
        <f t="shared" ca="1" si="6"/>
        <v>0</v>
      </c>
      <c r="I60" t="b">
        <f t="shared" ca="1" si="7"/>
        <v>0</v>
      </c>
      <c r="J60" t="b">
        <f t="shared" ca="1" si="8"/>
        <v>0</v>
      </c>
    </row>
    <row r="61" spans="1:10" x14ac:dyDescent="0.25">
      <c r="A61" s="13">
        <f t="shared" si="9"/>
        <v>41577</v>
      </c>
      <c r="B61" s="13" t="b">
        <f t="shared" ca="1" si="0"/>
        <v>0</v>
      </c>
      <c r="C61" s="13" t="b">
        <f t="shared" ca="1" si="1"/>
        <v>0</v>
      </c>
      <c r="D61" s="13" t="b">
        <f t="shared" ca="1" si="2"/>
        <v>0</v>
      </c>
      <c r="E61" s="13" t="b">
        <f t="shared" ca="1" si="3"/>
        <v>0</v>
      </c>
      <c r="F61" s="13" t="b">
        <f t="shared" ca="1" si="4"/>
        <v>0</v>
      </c>
      <c r="G61" t="b">
        <f t="shared" ca="1" si="5"/>
        <v>0</v>
      </c>
      <c r="H61" t="b">
        <f t="shared" ca="1" si="6"/>
        <v>0</v>
      </c>
      <c r="I61" t="b">
        <f t="shared" ca="1" si="7"/>
        <v>0</v>
      </c>
      <c r="J61" t="b">
        <f t="shared" ca="1" si="8"/>
        <v>0</v>
      </c>
    </row>
    <row r="62" spans="1:10" x14ac:dyDescent="0.25">
      <c r="A62" s="13">
        <f t="shared" si="9"/>
        <v>41578</v>
      </c>
      <c r="B62" s="13" t="b">
        <f t="shared" ca="1" si="0"/>
        <v>0</v>
      </c>
      <c r="C62" s="13" t="b">
        <f t="shared" ca="1" si="1"/>
        <v>0</v>
      </c>
      <c r="D62" s="13" t="b">
        <f t="shared" ca="1" si="2"/>
        <v>0</v>
      </c>
      <c r="E62" s="13" t="b">
        <f t="shared" ca="1" si="3"/>
        <v>0</v>
      </c>
      <c r="F62" s="13" t="b">
        <f t="shared" ca="1" si="4"/>
        <v>0</v>
      </c>
      <c r="G62" t="b">
        <f t="shared" ca="1" si="5"/>
        <v>0</v>
      </c>
      <c r="H62" t="b">
        <f t="shared" ca="1" si="6"/>
        <v>0</v>
      </c>
      <c r="I62" t="b">
        <f t="shared" ca="1" si="7"/>
        <v>0</v>
      </c>
      <c r="J62" t="b">
        <f t="shared" ca="1" si="8"/>
        <v>0</v>
      </c>
    </row>
    <row r="63" spans="1:10" x14ac:dyDescent="0.25">
      <c r="A63" s="13">
        <f t="shared" si="9"/>
        <v>41579</v>
      </c>
      <c r="B63" s="13" t="b">
        <f t="shared" ca="1" si="0"/>
        <v>0</v>
      </c>
      <c r="C63" s="13" t="b">
        <f t="shared" ca="1" si="1"/>
        <v>0</v>
      </c>
      <c r="D63" s="13" t="b">
        <f t="shared" ca="1" si="2"/>
        <v>0</v>
      </c>
      <c r="E63" s="13" t="b">
        <f t="shared" ca="1" si="3"/>
        <v>0</v>
      </c>
      <c r="F63" s="13" t="b">
        <f t="shared" ca="1" si="4"/>
        <v>0</v>
      </c>
      <c r="G63" t="b">
        <f t="shared" ca="1" si="5"/>
        <v>0</v>
      </c>
      <c r="H63" t="b">
        <f t="shared" ca="1" si="6"/>
        <v>1</v>
      </c>
      <c r="I63" t="b">
        <f t="shared" ca="1" si="7"/>
        <v>0</v>
      </c>
      <c r="J63" t="b">
        <f t="shared" ca="1" si="8"/>
        <v>0</v>
      </c>
    </row>
    <row r="64" spans="1:10" x14ac:dyDescent="0.25">
      <c r="A64" s="13">
        <f t="shared" si="9"/>
        <v>41580</v>
      </c>
      <c r="B64" s="13" t="b">
        <f t="shared" ca="1" si="0"/>
        <v>0</v>
      </c>
      <c r="C64" s="13" t="b">
        <f t="shared" ca="1" si="1"/>
        <v>0</v>
      </c>
      <c r="D64" s="13" t="b">
        <f t="shared" ca="1" si="2"/>
        <v>0</v>
      </c>
      <c r="E64" s="13" t="b">
        <f t="shared" ca="1" si="3"/>
        <v>0</v>
      </c>
      <c r="F64" s="13" t="b">
        <f t="shared" ca="1" si="4"/>
        <v>0</v>
      </c>
      <c r="G64" t="b">
        <f t="shared" ca="1" si="5"/>
        <v>0</v>
      </c>
      <c r="H64" t="b">
        <f t="shared" ca="1" si="6"/>
        <v>1</v>
      </c>
      <c r="I64" t="b">
        <f t="shared" ca="1" si="7"/>
        <v>0</v>
      </c>
      <c r="J64" t="b">
        <f t="shared" ca="1" si="8"/>
        <v>0</v>
      </c>
    </row>
    <row r="65" spans="1:10" x14ac:dyDescent="0.25">
      <c r="A65" s="13">
        <f t="shared" si="9"/>
        <v>41581</v>
      </c>
      <c r="B65" s="13" t="b">
        <f t="shared" ca="1" si="0"/>
        <v>0</v>
      </c>
      <c r="C65" s="13" t="b">
        <f t="shared" ca="1" si="1"/>
        <v>0</v>
      </c>
      <c r="D65" s="13" t="b">
        <f t="shared" ca="1" si="2"/>
        <v>0</v>
      </c>
      <c r="E65" s="13" t="b">
        <f t="shared" ca="1" si="3"/>
        <v>0</v>
      </c>
      <c r="F65" s="13" t="b">
        <f t="shared" ca="1" si="4"/>
        <v>0</v>
      </c>
      <c r="G65" t="b">
        <f t="shared" ca="1" si="5"/>
        <v>0</v>
      </c>
      <c r="H65" t="b">
        <f t="shared" ca="1" si="6"/>
        <v>1</v>
      </c>
      <c r="I65" t="b">
        <f t="shared" ca="1" si="7"/>
        <v>0</v>
      </c>
      <c r="J65" t="b">
        <f t="shared" ca="1" si="8"/>
        <v>0</v>
      </c>
    </row>
    <row r="66" spans="1:10" x14ac:dyDescent="0.25">
      <c r="A66" s="13">
        <f t="shared" si="9"/>
        <v>41582</v>
      </c>
      <c r="B66" s="13" t="b">
        <f t="shared" ca="1" si="0"/>
        <v>0</v>
      </c>
      <c r="C66" s="13" t="b">
        <f t="shared" ca="1" si="1"/>
        <v>0</v>
      </c>
      <c r="D66" s="13" t="b">
        <f t="shared" ca="1" si="2"/>
        <v>0</v>
      </c>
      <c r="E66" s="13" t="b">
        <f t="shared" ca="1" si="3"/>
        <v>0</v>
      </c>
      <c r="F66" s="13" t="b">
        <f t="shared" ca="1" si="4"/>
        <v>0</v>
      </c>
      <c r="G66" t="b">
        <f t="shared" ca="1" si="5"/>
        <v>0</v>
      </c>
      <c r="H66" t="b">
        <f t="shared" ca="1" si="6"/>
        <v>1</v>
      </c>
      <c r="I66" t="b">
        <f t="shared" ca="1" si="7"/>
        <v>0</v>
      </c>
      <c r="J66" t="b">
        <f t="shared" ca="1" si="8"/>
        <v>0</v>
      </c>
    </row>
    <row r="67" spans="1:10" x14ac:dyDescent="0.25">
      <c r="A67" s="13">
        <f t="shared" si="9"/>
        <v>41583</v>
      </c>
      <c r="B67" s="13" t="b">
        <f t="shared" ref="B67:B122" ca="1" si="10">$A67=TODAY()</f>
        <v>0</v>
      </c>
      <c r="C67" s="13" t="b">
        <f t="shared" ref="C67:C122" ca="1" si="11">$A67=TODAY()-1</f>
        <v>0</v>
      </c>
      <c r="D67" s="13" t="b">
        <f t="shared" ref="D67:D122" ca="1" si="12">$A67=TODAY()+1</f>
        <v>0</v>
      </c>
      <c r="E67" s="13" t="b">
        <f t="shared" ref="E67:E122" ca="1" si="13">WEEKNUM($A67)=WEEKNUM(TODAY()-1)</f>
        <v>0</v>
      </c>
      <c r="F67" s="13" t="b">
        <f t="shared" ref="F67:F122" ca="1" si="14">WEEKNUM($A67)=WEEKNUM(TODAY())+1</f>
        <v>0</v>
      </c>
      <c r="G67" t="b">
        <f t="shared" ref="G67:G122" ca="1" si="15">WEEKNUM($A67)=WEEKNUM(TODAY())</f>
        <v>0</v>
      </c>
      <c r="H67" t="b">
        <f t="shared" ref="H67:H80" ca="1" si="16">MONTH(A67)=MONTH(TODAY())-1</f>
        <v>1</v>
      </c>
      <c r="I67" t="b">
        <f t="shared" ref="I67:I80" ca="1" si="17">MONTH(A67)=MONTH(TODAY())</f>
        <v>0</v>
      </c>
      <c r="J67" t="b">
        <f t="shared" ref="J67:J80" ca="1" si="18">MONTH(A67)=MONTH(TODAY())+1</f>
        <v>0</v>
      </c>
    </row>
    <row r="68" spans="1:10" x14ac:dyDescent="0.25">
      <c r="A68" s="13">
        <f t="shared" ref="A68:A122" si="19">A67+1</f>
        <v>41584</v>
      </c>
      <c r="B68" s="13" t="b">
        <f t="shared" ca="1" si="10"/>
        <v>0</v>
      </c>
      <c r="C68" s="13" t="b">
        <f t="shared" ca="1" si="11"/>
        <v>0</v>
      </c>
      <c r="D68" s="13" t="b">
        <f t="shared" ca="1" si="12"/>
        <v>0</v>
      </c>
      <c r="E68" s="13" t="b">
        <f t="shared" ca="1" si="13"/>
        <v>0</v>
      </c>
      <c r="F68" s="13" t="b">
        <f t="shared" ca="1" si="14"/>
        <v>0</v>
      </c>
      <c r="G68" t="b">
        <f t="shared" ca="1" si="15"/>
        <v>0</v>
      </c>
      <c r="H68" t="b">
        <f t="shared" ca="1" si="16"/>
        <v>1</v>
      </c>
      <c r="I68" t="b">
        <f t="shared" ca="1" si="17"/>
        <v>0</v>
      </c>
      <c r="J68" t="b">
        <f t="shared" ca="1" si="18"/>
        <v>0</v>
      </c>
    </row>
    <row r="69" spans="1:10" x14ac:dyDescent="0.25">
      <c r="A69" s="13">
        <f t="shared" si="19"/>
        <v>41585</v>
      </c>
      <c r="B69" s="13" t="b">
        <f t="shared" ca="1" si="10"/>
        <v>0</v>
      </c>
      <c r="C69" s="13" t="b">
        <f t="shared" ca="1" si="11"/>
        <v>0</v>
      </c>
      <c r="D69" s="13" t="b">
        <f t="shared" ca="1" si="12"/>
        <v>0</v>
      </c>
      <c r="E69" s="13" t="b">
        <f t="shared" ca="1" si="13"/>
        <v>0</v>
      </c>
      <c r="F69" s="13" t="b">
        <f t="shared" ca="1" si="14"/>
        <v>0</v>
      </c>
      <c r="G69" t="b">
        <f t="shared" ca="1" si="15"/>
        <v>0</v>
      </c>
      <c r="H69" t="b">
        <f t="shared" ca="1" si="16"/>
        <v>1</v>
      </c>
      <c r="I69" t="b">
        <f t="shared" ca="1" si="17"/>
        <v>0</v>
      </c>
      <c r="J69" t="b">
        <f t="shared" ca="1" si="18"/>
        <v>0</v>
      </c>
    </row>
    <row r="70" spans="1:10" x14ac:dyDescent="0.25">
      <c r="A70" s="13">
        <f t="shared" si="19"/>
        <v>41586</v>
      </c>
      <c r="B70" s="13" t="b">
        <f t="shared" ca="1" si="10"/>
        <v>0</v>
      </c>
      <c r="C70" s="13" t="b">
        <f t="shared" ca="1" si="11"/>
        <v>0</v>
      </c>
      <c r="D70" s="13" t="b">
        <f t="shared" ca="1" si="12"/>
        <v>0</v>
      </c>
      <c r="E70" s="13" t="b">
        <f t="shared" ca="1" si="13"/>
        <v>0</v>
      </c>
      <c r="F70" s="13" t="b">
        <f t="shared" ca="1" si="14"/>
        <v>0</v>
      </c>
      <c r="G70" t="b">
        <f t="shared" ca="1" si="15"/>
        <v>0</v>
      </c>
      <c r="H70" t="b">
        <f t="shared" ca="1" si="16"/>
        <v>1</v>
      </c>
      <c r="I70" t="b">
        <f t="shared" ca="1" si="17"/>
        <v>0</v>
      </c>
      <c r="J70" t="b">
        <f t="shared" ca="1" si="18"/>
        <v>0</v>
      </c>
    </row>
    <row r="71" spans="1:10" x14ac:dyDescent="0.25">
      <c r="A71" s="13">
        <f t="shared" si="19"/>
        <v>41587</v>
      </c>
      <c r="B71" s="13" t="b">
        <f t="shared" ca="1" si="10"/>
        <v>0</v>
      </c>
      <c r="C71" s="13" t="b">
        <f t="shared" ca="1" si="11"/>
        <v>0</v>
      </c>
      <c r="D71" s="13" t="b">
        <f t="shared" ca="1" si="12"/>
        <v>0</v>
      </c>
      <c r="E71" s="13" t="b">
        <f t="shared" ca="1" si="13"/>
        <v>0</v>
      </c>
      <c r="F71" s="13" t="b">
        <f t="shared" ca="1" si="14"/>
        <v>0</v>
      </c>
      <c r="G71" t="b">
        <f t="shared" ca="1" si="15"/>
        <v>0</v>
      </c>
      <c r="H71" t="b">
        <f t="shared" ca="1" si="16"/>
        <v>1</v>
      </c>
      <c r="I71" t="b">
        <f t="shared" ca="1" si="17"/>
        <v>0</v>
      </c>
      <c r="J71" t="b">
        <f t="shared" ca="1" si="18"/>
        <v>0</v>
      </c>
    </row>
    <row r="72" spans="1:10" x14ac:dyDescent="0.25">
      <c r="A72" s="13">
        <f t="shared" si="19"/>
        <v>41588</v>
      </c>
      <c r="B72" s="13" t="b">
        <f t="shared" ca="1" si="10"/>
        <v>0</v>
      </c>
      <c r="C72" s="13" t="b">
        <f t="shared" ca="1" si="11"/>
        <v>0</v>
      </c>
      <c r="D72" s="13" t="b">
        <f t="shared" ca="1" si="12"/>
        <v>0</v>
      </c>
      <c r="E72" s="13" t="b">
        <f t="shared" ca="1" si="13"/>
        <v>0</v>
      </c>
      <c r="F72" s="13" t="b">
        <f t="shared" ca="1" si="14"/>
        <v>0</v>
      </c>
      <c r="G72" t="b">
        <f t="shared" ca="1" si="15"/>
        <v>0</v>
      </c>
      <c r="H72" t="b">
        <f t="shared" ca="1" si="16"/>
        <v>1</v>
      </c>
      <c r="I72" t="b">
        <f t="shared" ca="1" si="17"/>
        <v>0</v>
      </c>
      <c r="J72" t="b">
        <f t="shared" ca="1" si="18"/>
        <v>0</v>
      </c>
    </row>
    <row r="73" spans="1:10" x14ac:dyDescent="0.25">
      <c r="A73" s="13">
        <f t="shared" si="19"/>
        <v>41589</v>
      </c>
      <c r="B73" s="13" t="b">
        <f t="shared" ca="1" si="10"/>
        <v>0</v>
      </c>
      <c r="C73" s="13" t="b">
        <f t="shared" ca="1" si="11"/>
        <v>0</v>
      </c>
      <c r="D73" s="13" t="b">
        <f t="shared" ca="1" si="12"/>
        <v>0</v>
      </c>
      <c r="E73" s="13" t="b">
        <f t="shared" ca="1" si="13"/>
        <v>0</v>
      </c>
      <c r="F73" s="13" t="b">
        <f t="shared" ca="1" si="14"/>
        <v>0</v>
      </c>
      <c r="G73" t="b">
        <f t="shared" ca="1" si="15"/>
        <v>0</v>
      </c>
      <c r="H73" t="b">
        <f t="shared" ca="1" si="16"/>
        <v>1</v>
      </c>
      <c r="I73" t="b">
        <f t="shared" ca="1" si="17"/>
        <v>0</v>
      </c>
      <c r="J73" t="b">
        <f t="shared" ca="1" si="18"/>
        <v>0</v>
      </c>
    </row>
    <row r="74" spans="1:10" x14ac:dyDescent="0.25">
      <c r="A74" s="13">
        <f t="shared" si="19"/>
        <v>41590</v>
      </c>
      <c r="B74" s="13" t="b">
        <f t="shared" ca="1" si="10"/>
        <v>0</v>
      </c>
      <c r="C74" s="13" t="b">
        <f t="shared" ca="1" si="11"/>
        <v>0</v>
      </c>
      <c r="D74" s="13" t="b">
        <f t="shared" ca="1" si="12"/>
        <v>0</v>
      </c>
      <c r="E74" s="13" t="b">
        <f t="shared" ca="1" si="13"/>
        <v>0</v>
      </c>
      <c r="F74" s="13" t="b">
        <f t="shared" ca="1" si="14"/>
        <v>0</v>
      </c>
      <c r="G74" t="b">
        <f t="shared" ca="1" si="15"/>
        <v>0</v>
      </c>
      <c r="H74" t="b">
        <f t="shared" ca="1" si="16"/>
        <v>1</v>
      </c>
      <c r="I74" t="b">
        <f t="shared" ca="1" si="17"/>
        <v>0</v>
      </c>
      <c r="J74" t="b">
        <f t="shared" ca="1" si="18"/>
        <v>0</v>
      </c>
    </row>
    <row r="75" spans="1:10" x14ac:dyDescent="0.25">
      <c r="A75" s="13">
        <f t="shared" si="19"/>
        <v>41591</v>
      </c>
      <c r="B75" s="13" t="b">
        <f t="shared" ca="1" si="10"/>
        <v>0</v>
      </c>
      <c r="C75" s="13" t="b">
        <f t="shared" ca="1" si="11"/>
        <v>0</v>
      </c>
      <c r="D75" s="13" t="b">
        <f t="shared" ca="1" si="12"/>
        <v>0</v>
      </c>
      <c r="E75" s="13" t="b">
        <f t="shared" ca="1" si="13"/>
        <v>0</v>
      </c>
      <c r="F75" s="13" t="b">
        <f t="shared" ca="1" si="14"/>
        <v>0</v>
      </c>
      <c r="G75" t="b">
        <f t="shared" ca="1" si="15"/>
        <v>0</v>
      </c>
      <c r="H75" t="b">
        <f t="shared" ca="1" si="16"/>
        <v>1</v>
      </c>
      <c r="I75" t="b">
        <f t="shared" ca="1" si="17"/>
        <v>0</v>
      </c>
      <c r="J75" t="b">
        <f t="shared" ca="1" si="18"/>
        <v>0</v>
      </c>
    </row>
    <row r="76" spans="1:10" x14ac:dyDescent="0.25">
      <c r="A76" s="13">
        <f t="shared" si="19"/>
        <v>41592</v>
      </c>
      <c r="B76" s="13" t="b">
        <f t="shared" ca="1" si="10"/>
        <v>0</v>
      </c>
      <c r="C76" s="13" t="b">
        <f t="shared" ca="1" si="11"/>
        <v>0</v>
      </c>
      <c r="D76" s="13" t="b">
        <f t="shared" ca="1" si="12"/>
        <v>0</v>
      </c>
      <c r="E76" s="13" t="b">
        <f t="shared" ca="1" si="13"/>
        <v>0</v>
      </c>
      <c r="F76" s="13" t="b">
        <f t="shared" ca="1" si="14"/>
        <v>0</v>
      </c>
      <c r="G76" t="b">
        <f t="shared" ca="1" si="15"/>
        <v>0</v>
      </c>
      <c r="H76" t="b">
        <f t="shared" ca="1" si="16"/>
        <v>1</v>
      </c>
      <c r="I76" t="b">
        <f t="shared" ca="1" si="17"/>
        <v>0</v>
      </c>
      <c r="J76" t="b">
        <f t="shared" ca="1" si="18"/>
        <v>0</v>
      </c>
    </row>
    <row r="77" spans="1:10" x14ac:dyDescent="0.25">
      <c r="A77" s="13">
        <f t="shared" si="19"/>
        <v>41593</v>
      </c>
      <c r="B77" s="13" t="b">
        <f t="shared" ca="1" si="10"/>
        <v>0</v>
      </c>
      <c r="C77" s="13" t="b">
        <f t="shared" ca="1" si="11"/>
        <v>0</v>
      </c>
      <c r="D77" s="13" t="b">
        <f t="shared" ca="1" si="12"/>
        <v>0</v>
      </c>
      <c r="E77" s="13" t="b">
        <f t="shared" ca="1" si="13"/>
        <v>0</v>
      </c>
      <c r="F77" s="13" t="b">
        <f t="shared" ca="1" si="14"/>
        <v>0</v>
      </c>
      <c r="G77" t="b">
        <f t="shared" ca="1" si="15"/>
        <v>0</v>
      </c>
      <c r="H77" t="b">
        <f t="shared" ca="1" si="16"/>
        <v>1</v>
      </c>
      <c r="I77" t="b">
        <f t="shared" ca="1" si="17"/>
        <v>0</v>
      </c>
      <c r="J77" t="b">
        <f t="shared" ca="1" si="18"/>
        <v>0</v>
      </c>
    </row>
    <row r="78" spans="1:10" x14ac:dyDescent="0.25">
      <c r="A78" s="13">
        <f t="shared" si="19"/>
        <v>41594</v>
      </c>
      <c r="B78" s="13" t="b">
        <f t="shared" ca="1" si="10"/>
        <v>0</v>
      </c>
      <c r="C78" s="13" t="b">
        <f t="shared" ca="1" si="11"/>
        <v>0</v>
      </c>
      <c r="D78" s="13" t="b">
        <f t="shared" ca="1" si="12"/>
        <v>0</v>
      </c>
      <c r="E78" s="13" t="b">
        <f t="shared" ca="1" si="13"/>
        <v>0</v>
      </c>
      <c r="F78" s="13" t="b">
        <f t="shared" ca="1" si="14"/>
        <v>0</v>
      </c>
      <c r="G78" t="b">
        <f t="shared" ca="1" si="15"/>
        <v>0</v>
      </c>
      <c r="H78" t="b">
        <f t="shared" ca="1" si="16"/>
        <v>1</v>
      </c>
      <c r="I78" t="b">
        <f t="shared" ca="1" si="17"/>
        <v>0</v>
      </c>
      <c r="J78" t="b">
        <f t="shared" ca="1" si="18"/>
        <v>0</v>
      </c>
    </row>
    <row r="79" spans="1:10" x14ac:dyDescent="0.25">
      <c r="A79" s="13">
        <f t="shared" si="19"/>
        <v>41595</v>
      </c>
      <c r="B79" s="13" t="b">
        <f t="shared" ca="1" si="10"/>
        <v>0</v>
      </c>
      <c r="C79" s="13" t="b">
        <f t="shared" ca="1" si="11"/>
        <v>0</v>
      </c>
      <c r="D79" s="13" t="b">
        <f t="shared" ca="1" si="12"/>
        <v>0</v>
      </c>
      <c r="E79" s="13" t="b">
        <f t="shared" ca="1" si="13"/>
        <v>0</v>
      </c>
      <c r="F79" s="13" t="b">
        <f t="shared" ca="1" si="14"/>
        <v>0</v>
      </c>
      <c r="G79" t="b">
        <f t="shared" ca="1" si="15"/>
        <v>0</v>
      </c>
      <c r="H79" t="b">
        <f t="shared" ca="1" si="16"/>
        <v>1</v>
      </c>
      <c r="I79" t="b">
        <f t="shared" ca="1" si="17"/>
        <v>0</v>
      </c>
      <c r="J79" t="b">
        <f t="shared" ca="1" si="18"/>
        <v>0</v>
      </c>
    </row>
    <row r="80" spans="1:10" x14ac:dyDescent="0.25">
      <c r="A80" s="13">
        <f t="shared" si="19"/>
        <v>41596</v>
      </c>
      <c r="B80" s="13" t="b">
        <f t="shared" ca="1" si="10"/>
        <v>0</v>
      </c>
      <c r="C80" s="13" t="b">
        <f t="shared" ca="1" si="11"/>
        <v>0</v>
      </c>
      <c r="D80" s="13" t="b">
        <f t="shared" ca="1" si="12"/>
        <v>0</v>
      </c>
      <c r="E80" s="13" t="b">
        <f t="shared" ca="1" si="13"/>
        <v>0</v>
      </c>
      <c r="F80" s="13" t="b">
        <f t="shared" ca="1" si="14"/>
        <v>0</v>
      </c>
      <c r="G80" t="b">
        <f t="shared" ca="1" si="15"/>
        <v>0</v>
      </c>
      <c r="H80" t="b">
        <f t="shared" ca="1" si="16"/>
        <v>1</v>
      </c>
      <c r="I80" t="b">
        <f t="shared" ca="1" si="17"/>
        <v>0</v>
      </c>
      <c r="J80" t="b">
        <f t="shared" ca="1" si="18"/>
        <v>0</v>
      </c>
    </row>
    <row r="81" spans="1:10" x14ac:dyDescent="0.25">
      <c r="A81" s="13">
        <f t="shared" si="19"/>
        <v>41597</v>
      </c>
      <c r="B81" s="13" t="b">
        <f t="shared" ca="1" si="10"/>
        <v>0</v>
      </c>
      <c r="C81" s="13" t="b">
        <f t="shared" ca="1" si="11"/>
        <v>0</v>
      </c>
      <c r="D81" s="13" t="b">
        <f t="shared" ca="1" si="12"/>
        <v>0</v>
      </c>
      <c r="E81" s="13" t="b">
        <f t="shared" ca="1" si="13"/>
        <v>0</v>
      </c>
      <c r="F81" s="13" t="b">
        <f t="shared" ca="1" si="14"/>
        <v>0</v>
      </c>
      <c r="G81" t="b">
        <f t="shared" ca="1" si="15"/>
        <v>0</v>
      </c>
      <c r="H81" t="b">
        <f t="shared" ref="H81:H89" ca="1" si="20">MONTH(A81)=MONTH(TODAY())-1</f>
        <v>1</v>
      </c>
      <c r="I81" t="b">
        <f t="shared" ref="I81:I89" ca="1" si="21">MONTH(A81)=MONTH(TODAY())</f>
        <v>0</v>
      </c>
      <c r="J81" t="b">
        <f t="shared" ref="J81:J89" ca="1" si="22">MONTH(A81)=MONTH(TODAY())+1</f>
        <v>0</v>
      </c>
    </row>
    <row r="82" spans="1:10" x14ac:dyDescent="0.25">
      <c r="A82" s="13">
        <f t="shared" si="19"/>
        <v>41598</v>
      </c>
      <c r="B82" s="13" t="b">
        <f t="shared" ca="1" si="10"/>
        <v>0</v>
      </c>
      <c r="C82" s="13" t="b">
        <f t="shared" ca="1" si="11"/>
        <v>0</v>
      </c>
      <c r="D82" s="13" t="b">
        <f t="shared" ca="1" si="12"/>
        <v>0</v>
      </c>
      <c r="E82" s="13" t="b">
        <f t="shared" ca="1" si="13"/>
        <v>0</v>
      </c>
      <c r="F82" s="13" t="b">
        <f t="shared" ca="1" si="14"/>
        <v>0</v>
      </c>
      <c r="G82" t="b">
        <f t="shared" ca="1" si="15"/>
        <v>0</v>
      </c>
      <c r="H82" t="b">
        <f t="shared" ca="1" si="20"/>
        <v>1</v>
      </c>
      <c r="I82" t="b">
        <f t="shared" ca="1" si="21"/>
        <v>0</v>
      </c>
      <c r="J82" t="b">
        <f t="shared" ca="1" si="22"/>
        <v>0</v>
      </c>
    </row>
    <row r="83" spans="1:10" x14ac:dyDescent="0.25">
      <c r="A83" s="13">
        <f t="shared" si="19"/>
        <v>41599</v>
      </c>
      <c r="B83" s="13" t="b">
        <f t="shared" ca="1" si="10"/>
        <v>0</v>
      </c>
      <c r="C83" s="13" t="b">
        <f t="shared" ca="1" si="11"/>
        <v>0</v>
      </c>
      <c r="D83" s="13" t="b">
        <f t="shared" ca="1" si="12"/>
        <v>0</v>
      </c>
      <c r="E83" s="13" t="b">
        <f t="shared" ca="1" si="13"/>
        <v>0</v>
      </c>
      <c r="F83" s="13" t="b">
        <f t="shared" ca="1" si="14"/>
        <v>0</v>
      </c>
      <c r="G83" t="b">
        <f t="shared" ca="1" si="15"/>
        <v>0</v>
      </c>
      <c r="H83" t="b">
        <f t="shared" ca="1" si="20"/>
        <v>1</v>
      </c>
      <c r="I83" t="b">
        <f t="shared" ca="1" si="21"/>
        <v>0</v>
      </c>
      <c r="J83" t="b">
        <f t="shared" ca="1" si="22"/>
        <v>0</v>
      </c>
    </row>
    <row r="84" spans="1:10" x14ac:dyDescent="0.25">
      <c r="A84" s="13">
        <f t="shared" si="19"/>
        <v>41600</v>
      </c>
      <c r="B84" s="13" t="b">
        <f t="shared" ca="1" si="10"/>
        <v>0</v>
      </c>
      <c r="C84" s="13" t="b">
        <f t="shared" ca="1" si="11"/>
        <v>0</v>
      </c>
      <c r="D84" s="13" t="b">
        <f t="shared" ca="1" si="12"/>
        <v>0</v>
      </c>
      <c r="E84" s="13" t="b">
        <f t="shared" ca="1" si="13"/>
        <v>0</v>
      </c>
      <c r="F84" s="13" t="b">
        <f t="shared" ca="1" si="14"/>
        <v>0</v>
      </c>
      <c r="G84" t="b">
        <f t="shared" ca="1" si="15"/>
        <v>0</v>
      </c>
      <c r="H84" t="b">
        <f t="shared" ca="1" si="20"/>
        <v>1</v>
      </c>
      <c r="I84" t="b">
        <f t="shared" ca="1" si="21"/>
        <v>0</v>
      </c>
      <c r="J84" t="b">
        <f t="shared" ca="1" si="22"/>
        <v>0</v>
      </c>
    </row>
    <row r="85" spans="1:10" x14ac:dyDescent="0.25">
      <c r="A85" s="13">
        <f t="shared" si="19"/>
        <v>41601</v>
      </c>
      <c r="B85" s="13" t="b">
        <f t="shared" ca="1" si="10"/>
        <v>0</v>
      </c>
      <c r="C85" s="13" t="b">
        <f t="shared" ca="1" si="11"/>
        <v>0</v>
      </c>
      <c r="D85" s="13" t="b">
        <f t="shared" ca="1" si="12"/>
        <v>0</v>
      </c>
      <c r="E85" s="13" t="b">
        <f t="shared" ca="1" si="13"/>
        <v>0</v>
      </c>
      <c r="F85" s="13" t="b">
        <f t="shared" ca="1" si="14"/>
        <v>0</v>
      </c>
      <c r="G85" t="b">
        <f t="shared" ca="1" si="15"/>
        <v>0</v>
      </c>
      <c r="H85" t="b">
        <f t="shared" ca="1" si="20"/>
        <v>1</v>
      </c>
      <c r="I85" t="b">
        <f t="shared" ca="1" si="21"/>
        <v>0</v>
      </c>
      <c r="J85" t="b">
        <f t="shared" ca="1" si="22"/>
        <v>0</v>
      </c>
    </row>
    <row r="86" spans="1:10" x14ac:dyDescent="0.25">
      <c r="A86" s="13">
        <f t="shared" si="19"/>
        <v>41602</v>
      </c>
      <c r="B86" s="13" t="b">
        <f t="shared" ca="1" si="10"/>
        <v>0</v>
      </c>
      <c r="C86" s="13" t="b">
        <f t="shared" ca="1" si="11"/>
        <v>0</v>
      </c>
      <c r="D86" s="13" t="b">
        <f t="shared" ca="1" si="12"/>
        <v>0</v>
      </c>
      <c r="E86" s="13" t="b">
        <f t="shared" ca="1" si="13"/>
        <v>0</v>
      </c>
      <c r="F86" s="13" t="b">
        <f t="shared" ca="1" si="14"/>
        <v>0</v>
      </c>
      <c r="G86" t="b">
        <f t="shared" ca="1" si="15"/>
        <v>0</v>
      </c>
      <c r="H86" t="b">
        <f t="shared" ca="1" si="20"/>
        <v>1</v>
      </c>
      <c r="I86" t="b">
        <f t="shared" ca="1" si="21"/>
        <v>0</v>
      </c>
      <c r="J86" t="b">
        <f t="shared" ca="1" si="22"/>
        <v>0</v>
      </c>
    </row>
    <row r="87" spans="1:10" x14ac:dyDescent="0.25">
      <c r="A87" s="13">
        <f t="shared" si="19"/>
        <v>41603</v>
      </c>
      <c r="B87" s="13" t="b">
        <f t="shared" ca="1" si="10"/>
        <v>0</v>
      </c>
      <c r="C87" s="13" t="b">
        <f t="shared" ca="1" si="11"/>
        <v>0</v>
      </c>
      <c r="D87" s="13" t="b">
        <f t="shared" ca="1" si="12"/>
        <v>0</v>
      </c>
      <c r="E87" s="13" t="b">
        <f t="shared" ca="1" si="13"/>
        <v>0</v>
      </c>
      <c r="F87" s="13" t="b">
        <f t="shared" ca="1" si="14"/>
        <v>0</v>
      </c>
      <c r="G87" t="b">
        <f t="shared" ca="1" si="15"/>
        <v>0</v>
      </c>
      <c r="H87" t="b">
        <f t="shared" ca="1" si="20"/>
        <v>1</v>
      </c>
      <c r="I87" t="b">
        <f t="shared" ca="1" si="21"/>
        <v>0</v>
      </c>
      <c r="J87" t="b">
        <f t="shared" ca="1" si="22"/>
        <v>0</v>
      </c>
    </row>
    <row r="88" spans="1:10" x14ac:dyDescent="0.25">
      <c r="A88" s="13">
        <f t="shared" si="19"/>
        <v>41604</v>
      </c>
      <c r="B88" s="13" t="b">
        <f t="shared" ca="1" si="10"/>
        <v>0</v>
      </c>
      <c r="C88" s="13" t="b">
        <f t="shared" ca="1" si="11"/>
        <v>0</v>
      </c>
      <c r="D88" s="13" t="b">
        <f t="shared" ca="1" si="12"/>
        <v>0</v>
      </c>
      <c r="E88" s="13" t="b">
        <f t="shared" ca="1" si="13"/>
        <v>0</v>
      </c>
      <c r="F88" s="13" t="b">
        <f t="shared" ca="1" si="14"/>
        <v>0</v>
      </c>
      <c r="G88" t="b">
        <f t="shared" ca="1" si="15"/>
        <v>0</v>
      </c>
      <c r="H88" t="b">
        <f t="shared" ca="1" si="20"/>
        <v>1</v>
      </c>
      <c r="I88" t="b">
        <f t="shared" ca="1" si="21"/>
        <v>0</v>
      </c>
      <c r="J88" t="b">
        <f t="shared" ca="1" si="22"/>
        <v>0</v>
      </c>
    </row>
    <row r="89" spans="1:10" x14ac:dyDescent="0.25">
      <c r="A89" s="13">
        <f t="shared" si="19"/>
        <v>41605</v>
      </c>
      <c r="B89" s="13" t="b">
        <f t="shared" ca="1" si="10"/>
        <v>0</v>
      </c>
      <c r="C89" s="13" t="b">
        <f t="shared" ca="1" si="11"/>
        <v>0</v>
      </c>
      <c r="D89" s="13" t="b">
        <f t="shared" ca="1" si="12"/>
        <v>0</v>
      </c>
      <c r="E89" s="13" t="b">
        <f t="shared" ca="1" si="13"/>
        <v>0</v>
      </c>
      <c r="F89" s="13" t="b">
        <f t="shared" ca="1" si="14"/>
        <v>0</v>
      </c>
      <c r="G89" t="b">
        <f t="shared" ca="1" si="15"/>
        <v>0</v>
      </c>
      <c r="H89" t="b">
        <f t="shared" ca="1" si="20"/>
        <v>1</v>
      </c>
      <c r="I89" t="b">
        <f t="shared" ca="1" si="21"/>
        <v>0</v>
      </c>
      <c r="J89" t="b">
        <f t="shared" ca="1" si="22"/>
        <v>0</v>
      </c>
    </row>
    <row r="90" spans="1:10" x14ac:dyDescent="0.25">
      <c r="A90" s="13">
        <f t="shared" si="19"/>
        <v>41606</v>
      </c>
      <c r="B90" s="13" t="b">
        <f t="shared" ca="1" si="10"/>
        <v>0</v>
      </c>
      <c r="C90" s="13" t="b">
        <f t="shared" ca="1" si="11"/>
        <v>0</v>
      </c>
      <c r="D90" s="13" t="b">
        <f t="shared" ca="1" si="12"/>
        <v>0</v>
      </c>
      <c r="E90" s="13" t="b">
        <f t="shared" ca="1" si="13"/>
        <v>0</v>
      </c>
      <c r="F90" s="13" t="b">
        <f t="shared" ca="1" si="14"/>
        <v>0</v>
      </c>
      <c r="G90" t="b">
        <f t="shared" ca="1" si="15"/>
        <v>0</v>
      </c>
      <c r="H90" t="b">
        <f t="shared" ref="H90" ca="1" si="23">MONTH(A90)=MONTH(TODAY())-1</f>
        <v>1</v>
      </c>
      <c r="I90" t="b">
        <f t="shared" ref="I90" ca="1" si="24">MONTH(A90)=MONTH(TODAY())</f>
        <v>0</v>
      </c>
      <c r="J90" t="b">
        <f t="shared" ref="J90" ca="1" si="25">MONTH(A90)=MONTH(TODAY())+1</f>
        <v>0</v>
      </c>
    </row>
    <row r="91" spans="1:10" x14ac:dyDescent="0.25">
      <c r="A91" s="13">
        <f t="shared" si="19"/>
        <v>41607</v>
      </c>
      <c r="B91" s="13" t="b">
        <f t="shared" ca="1" si="10"/>
        <v>0</v>
      </c>
      <c r="C91" s="13" t="b">
        <f t="shared" ca="1" si="11"/>
        <v>0</v>
      </c>
      <c r="D91" s="13" t="b">
        <f t="shared" ca="1" si="12"/>
        <v>0</v>
      </c>
      <c r="E91" s="13" t="b">
        <f t="shared" ca="1" si="13"/>
        <v>0</v>
      </c>
      <c r="F91" s="13" t="b">
        <f t="shared" ca="1" si="14"/>
        <v>0</v>
      </c>
      <c r="G91" t="b">
        <f t="shared" ca="1" si="15"/>
        <v>0</v>
      </c>
      <c r="H91" t="b">
        <f t="shared" ref="H91" ca="1" si="26">MONTH(A91)=MONTH(TODAY())-1</f>
        <v>1</v>
      </c>
      <c r="I91" t="b">
        <f t="shared" ref="I91" ca="1" si="27">MONTH(A91)=MONTH(TODAY())</f>
        <v>0</v>
      </c>
      <c r="J91" t="b">
        <f t="shared" ref="J91" ca="1" si="28">MONTH(A91)=MONTH(TODAY())+1</f>
        <v>0</v>
      </c>
    </row>
    <row r="92" spans="1:10" x14ac:dyDescent="0.25">
      <c r="A92" s="13">
        <f t="shared" si="19"/>
        <v>41608</v>
      </c>
      <c r="B92" s="13" t="b">
        <f t="shared" ca="1" si="10"/>
        <v>0</v>
      </c>
      <c r="C92" s="13" t="b">
        <f t="shared" ca="1" si="11"/>
        <v>0</v>
      </c>
      <c r="D92" s="13" t="b">
        <f t="shared" ca="1" si="12"/>
        <v>0</v>
      </c>
      <c r="E92" s="13" t="b">
        <f t="shared" ca="1" si="13"/>
        <v>0</v>
      </c>
      <c r="F92" s="13" t="b">
        <f t="shared" ca="1" si="14"/>
        <v>0</v>
      </c>
      <c r="G92" t="b">
        <f t="shared" ca="1" si="15"/>
        <v>0</v>
      </c>
      <c r="H92" t="b">
        <f t="shared" ref="H92:H122" ca="1" si="29">MONTH(A92)=MONTH(TODAY())-1</f>
        <v>1</v>
      </c>
      <c r="I92" t="b">
        <f t="shared" ref="I92:I122" ca="1" si="30">MONTH(A92)=MONTH(TODAY())</f>
        <v>0</v>
      </c>
      <c r="J92" t="b">
        <f t="shared" ref="J92:J122" ca="1" si="31">MONTH(A92)=MONTH(TODAY())+1</f>
        <v>0</v>
      </c>
    </row>
    <row r="93" spans="1:10" x14ac:dyDescent="0.25">
      <c r="A93" s="13">
        <f t="shared" si="19"/>
        <v>41609</v>
      </c>
      <c r="B93" s="13" t="b">
        <f t="shared" ca="1" si="10"/>
        <v>0</v>
      </c>
      <c r="C93" s="13" t="b">
        <f t="shared" ca="1" si="11"/>
        <v>0</v>
      </c>
      <c r="D93" s="13" t="b">
        <f t="shared" ca="1" si="12"/>
        <v>0</v>
      </c>
      <c r="E93" s="13" t="b">
        <f t="shared" ca="1" si="13"/>
        <v>0</v>
      </c>
      <c r="F93" s="13" t="b">
        <f t="shared" ca="1" si="14"/>
        <v>0</v>
      </c>
      <c r="G93" t="b">
        <f t="shared" ca="1" si="15"/>
        <v>0</v>
      </c>
      <c r="H93" t="b">
        <f t="shared" ca="1" si="29"/>
        <v>0</v>
      </c>
      <c r="I93" t="b">
        <f t="shared" ca="1" si="30"/>
        <v>1</v>
      </c>
      <c r="J93" t="b">
        <f t="shared" ca="1" si="31"/>
        <v>0</v>
      </c>
    </row>
    <row r="94" spans="1:10" x14ac:dyDescent="0.25">
      <c r="A94" s="13">
        <f t="shared" si="19"/>
        <v>41610</v>
      </c>
      <c r="B94" s="13" t="b">
        <f t="shared" ca="1" si="10"/>
        <v>0</v>
      </c>
      <c r="C94" s="13" t="b">
        <f t="shared" ca="1" si="11"/>
        <v>0</v>
      </c>
      <c r="D94" s="13" t="b">
        <f t="shared" ca="1" si="12"/>
        <v>0</v>
      </c>
      <c r="E94" s="13" t="b">
        <f t="shared" ca="1" si="13"/>
        <v>0</v>
      </c>
      <c r="F94" s="13" t="b">
        <f t="shared" ca="1" si="14"/>
        <v>0</v>
      </c>
      <c r="G94" t="b">
        <f t="shared" ca="1" si="15"/>
        <v>0</v>
      </c>
      <c r="H94" t="b">
        <f t="shared" ca="1" si="29"/>
        <v>0</v>
      </c>
      <c r="I94" t="b">
        <f t="shared" ca="1" si="30"/>
        <v>1</v>
      </c>
      <c r="J94" t="b">
        <f t="shared" ca="1" si="31"/>
        <v>0</v>
      </c>
    </row>
    <row r="95" spans="1:10" x14ac:dyDescent="0.25">
      <c r="A95" s="13">
        <f t="shared" si="19"/>
        <v>41611</v>
      </c>
      <c r="B95" s="13" t="b">
        <f t="shared" ca="1" si="10"/>
        <v>0</v>
      </c>
      <c r="C95" s="13" t="b">
        <f t="shared" ca="1" si="11"/>
        <v>0</v>
      </c>
      <c r="D95" s="13" t="b">
        <f t="shared" ca="1" si="12"/>
        <v>0</v>
      </c>
      <c r="E95" s="13" t="b">
        <f t="shared" ca="1" si="13"/>
        <v>0</v>
      </c>
      <c r="F95" s="13" t="b">
        <f t="shared" ca="1" si="14"/>
        <v>0</v>
      </c>
      <c r="G95" t="b">
        <f t="shared" ca="1" si="15"/>
        <v>0</v>
      </c>
      <c r="H95" t="b">
        <f t="shared" ca="1" si="29"/>
        <v>0</v>
      </c>
      <c r="I95" t="b">
        <f t="shared" ca="1" si="30"/>
        <v>1</v>
      </c>
      <c r="J95" t="b">
        <f t="shared" ca="1" si="31"/>
        <v>0</v>
      </c>
    </row>
    <row r="96" spans="1:10" x14ac:dyDescent="0.25">
      <c r="A96" s="13">
        <f t="shared" si="19"/>
        <v>41612</v>
      </c>
      <c r="B96" s="13" t="b">
        <f t="shared" ca="1" si="10"/>
        <v>0</v>
      </c>
      <c r="C96" s="13" t="b">
        <f t="shared" ca="1" si="11"/>
        <v>0</v>
      </c>
      <c r="D96" s="13" t="b">
        <f t="shared" ca="1" si="12"/>
        <v>0</v>
      </c>
      <c r="E96" s="13" t="b">
        <f t="shared" ca="1" si="13"/>
        <v>0</v>
      </c>
      <c r="F96" s="13" t="b">
        <f t="shared" ca="1" si="14"/>
        <v>0</v>
      </c>
      <c r="G96" t="b">
        <f t="shared" ca="1" si="15"/>
        <v>0</v>
      </c>
      <c r="H96" t="b">
        <f t="shared" ca="1" si="29"/>
        <v>0</v>
      </c>
      <c r="I96" t="b">
        <f t="shared" ca="1" si="30"/>
        <v>1</v>
      </c>
      <c r="J96" t="b">
        <f t="shared" ca="1" si="31"/>
        <v>0</v>
      </c>
    </row>
    <row r="97" spans="1:10" x14ac:dyDescent="0.25">
      <c r="A97" s="13">
        <f t="shared" si="19"/>
        <v>41613</v>
      </c>
      <c r="B97" s="13" t="b">
        <f t="shared" ca="1" si="10"/>
        <v>0</v>
      </c>
      <c r="C97" s="13" t="b">
        <f t="shared" ca="1" si="11"/>
        <v>0</v>
      </c>
      <c r="D97" s="13" t="b">
        <f t="shared" ca="1" si="12"/>
        <v>0</v>
      </c>
      <c r="E97" s="13" t="b">
        <f t="shared" ca="1" si="13"/>
        <v>0</v>
      </c>
      <c r="F97" s="13" t="b">
        <f t="shared" ca="1" si="14"/>
        <v>0</v>
      </c>
      <c r="G97" t="b">
        <f t="shared" ca="1" si="15"/>
        <v>0</v>
      </c>
      <c r="H97" t="b">
        <f t="shared" ca="1" si="29"/>
        <v>0</v>
      </c>
      <c r="I97" t="b">
        <f t="shared" ca="1" si="30"/>
        <v>1</v>
      </c>
      <c r="J97" t="b">
        <f t="shared" ca="1" si="31"/>
        <v>0</v>
      </c>
    </row>
    <row r="98" spans="1:10" x14ac:dyDescent="0.25">
      <c r="A98" s="13">
        <f t="shared" si="19"/>
        <v>41614</v>
      </c>
      <c r="B98" s="13" t="b">
        <f t="shared" ca="1" si="10"/>
        <v>0</v>
      </c>
      <c r="C98" s="13" t="b">
        <f t="shared" ca="1" si="11"/>
        <v>0</v>
      </c>
      <c r="D98" s="13" t="b">
        <f t="shared" ca="1" si="12"/>
        <v>0</v>
      </c>
      <c r="E98" s="13" t="b">
        <f t="shared" ca="1" si="13"/>
        <v>0</v>
      </c>
      <c r="F98" s="13" t="b">
        <f t="shared" ca="1" si="14"/>
        <v>0</v>
      </c>
      <c r="G98" t="b">
        <f t="shared" ca="1" si="15"/>
        <v>0</v>
      </c>
      <c r="H98" t="b">
        <f t="shared" ca="1" si="29"/>
        <v>0</v>
      </c>
      <c r="I98" t="b">
        <f t="shared" ca="1" si="30"/>
        <v>1</v>
      </c>
      <c r="J98" t="b">
        <f t="shared" ca="1" si="31"/>
        <v>0</v>
      </c>
    </row>
    <row r="99" spans="1:10" x14ac:dyDescent="0.25">
      <c r="A99" s="13">
        <f t="shared" si="19"/>
        <v>41615</v>
      </c>
      <c r="B99" s="13" t="b">
        <f t="shared" ca="1" si="10"/>
        <v>0</v>
      </c>
      <c r="C99" s="13" t="b">
        <f t="shared" ca="1" si="11"/>
        <v>0</v>
      </c>
      <c r="D99" s="13" t="b">
        <f t="shared" ca="1" si="12"/>
        <v>0</v>
      </c>
      <c r="E99" s="13" t="b">
        <f t="shared" ca="1" si="13"/>
        <v>0</v>
      </c>
      <c r="F99" s="13" t="b">
        <f t="shared" ca="1" si="14"/>
        <v>0</v>
      </c>
      <c r="G99" t="b">
        <f t="shared" ca="1" si="15"/>
        <v>0</v>
      </c>
      <c r="H99" t="b">
        <f t="shared" ca="1" si="29"/>
        <v>0</v>
      </c>
      <c r="I99" t="b">
        <f t="shared" ca="1" si="30"/>
        <v>1</v>
      </c>
      <c r="J99" t="b">
        <f t="shared" ca="1" si="31"/>
        <v>0</v>
      </c>
    </row>
    <row r="100" spans="1:10" x14ac:dyDescent="0.25">
      <c r="A100" s="13">
        <f t="shared" si="19"/>
        <v>41616</v>
      </c>
      <c r="B100" s="13" t="b">
        <f t="shared" ca="1" si="10"/>
        <v>0</v>
      </c>
      <c r="C100" s="13" t="b">
        <f t="shared" ca="1" si="11"/>
        <v>0</v>
      </c>
      <c r="D100" s="13" t="b">
        <f t="shared" ca="1" si="12"/>
        <v>0</v>
      </c>
      <c r="E100" s="13" t="b">
        <f t="shared" ca="1" si="13"/>
        <v>0</v>
      </c>
      <c r="F100" s="13" t="b">
        <f t="shared" ca="1" si="14"/>
        <v>0</v>
      </c>
      <c r="G100" t="b">
        <f t="shared" ca="1" si="15"/>
        <v>0</v>
      </c>
      <c r="H100" t="b">
        <f t="shared" ca="1" si="29"/>
        <v>0</v>
      </c>
      <c r="I100" t="b">
        <f t="shared" ca="1" si="30"/>
        <v>1</v>
      </c>
      <c r="J100" t="b">
        <f t="shared" ca="1" si="31"/>
        <v>0</v>
      </c>
    </row>
    <row r="101" spans="1:10" x14ac:dyDescent="0.25">
      <c r="A101" s="13">
        <f t="shared" si="19"/>
        <v>41617</v>
      </c>
      <c r="B101" s="13" t="b">
        <f t="shared" ca="1" si="10"/>
        <v>0</v>
      </c>
      <c r="C101" s="13" t="b">
        <f t="shared" ca="1" si="11"/>
        <v>0</v>
      </c>
      <c r="D101" s="13" t="b">
        <f t="shared" ca="1" si="12"/>
        <v>0</v>
      </c>
      <c r="E101" s="13" t="b">
        <f t="shared" ca="1" si="13"/>
        <v>0</v>
      </c>
      <c r="F101" s="13" t="b">
        <f t="shared" ca="1" si="14"/>
        <v>0</v>
      </c>
      <c r="G101" t="b">
        <f t="shared" ca="1" si="15"/>
        <v>0</v>
      </c>
      <c r="H101" t="b">
        <f t="shared" ca="1" si="29"/>
        <v>0</v>
      </c>
      <c r="I101" t="b">
        <f t="shared" ca="1" si="30"/>
        <v>1</v>
      </c>
      <c r="J101" t="b">
        <f t="shared" ca="1" si="31"/>
        <v>0</v>
      </c>
    </row>
    <row r="102" spans="1:10" x14ac:dyDescent="0.25">
      <c r="A102" s="13">
        <f t="shared" si="19"/>
        <v>41618</v>
      </c>
      <c r="B102" s="13" t="b">
        <f t="shared" ca="1" si="10"/>
        <v>0</v>
      </c>
      <c r="C102" s="13" t="b">
        <f t="shared" ca="1" si="11"/>
        <v>0</v>
      </c>
      <c r="D102" s="13" t="b">
        <f t="shared" ca="1" si="12"/>
        <v>0</v>
      </c>
      <c r="E102" s="13" t="b">
        <f t="shared" ca="1" si="13"/>
        <v>0</v>
      </c>
      <c r="F102" s="13" t="b">
        <f t="shared" ca="1" si="14"/>
        <v>0</v>
      </c>
      <c r="G102" t="b">
        <f t="shared" ca="1" si="15"/>
        <v>0</v>
      </c>
      <c r="H102" t="b">
        <f t="shared" ca="1" si="29"/>
        <v>0</v>
      </c>
      <c r="I102" t="b">
        <f t="shared" ca="1" si="30"/>
        <v>1</v>
      </c>
      <c r="J102" t="b">
        <f t="shared" ca="1" si="31"/>
        <v>0</v>
      </c>
    </row>
    <row r="103" spans="1:10" x14ac:dyDescent="0.25">
      <c r="A103" s="13">
        <f t="shared" si="19"/>
        <v>41619</v>
      </c>
      <c r="B103" s="13" t="b">
        <f t="shared" ca="1" si="10"/>
        <v>0</v>
      </c>
      <c r="C103" s="13" t="b">
        <f t="shared" ca="1" si="11"/>
        <v>0</v>
      </c>
      <c r="D103" s="13" t="b">
        <f t="shared" ca="1" si="12"/>
        <v>0</v>
      </c>
      <c r="E103" s="13" t="b">
        <f t="shared" ca="1" si="13"/>
        <v>0</v>
      </c>
      <c r="F103" s="13" t="b">
        <f t="shared" ca="1" si="14"/>
        <v>0</v>
      </c>
      <c r="G103" t="b">
        <f t="shared" ca="1" si="15"/>
        <v>0</v>
      </c>
      <c r="H103" t="b">
        <f t="shared" ca="1" si="29"/>
        <v>0</v>
      </c>
      <c r="I103" t="b">
        <f t="shared" ca="1" si="30"/>
        <v>1</v>
      </c>
      <c r="J103" t="b">
        <f t="shared" ca="1" si="31"/>
        <v>0</v>
      </c>
    </row>
    <row r="104" spans="1:10" x14ac:dyDescent="0.25">
      <c r="A104" s="13">
        <f t="shared" si="19"/>
        <v>41620</v>
      </c>
      <c r="B104" s="13" t="b">
        <f t="shared" ca="1" si="10"/>
        <v>0</v>
      </c>
      <c r="C104" s="13" t="b">
        <f t="shared" ca="1" si="11"/>
        <v>0</v>
      </c>
      <c r="D104" s="13" t="b">
        <f t="shared" ca="1" si="12"/>
        <v>0</v>
      </c>
      <c r="E104" s="13" t="b">
        <f t="shared" ca="1" si="13"/>
        <v>0</v>
      </c>
      <c r="F104" s="13" t="b">
        <f t="shared" ca="1" si="14"/>
        <v>0</v>
      </c>
      <c r="G104" t="b">
        <f t="shared" ca="1" si="15"/>
        <v>0</v>
      </c>
      <c r="H104" t="b">
        <f t="shared" ca="1" si="29"/>
        <v>0</v>
      </c>
      <c r="I104" t="b">
        <f t="shared" ca="1" si="30"/>
        <v>1</v>
      </c>
      <c r="J104" t="b">
        <f t="shared" ca="1" si="31"/>
        <v>0</v>
      </c>
    </row>
    <row r="105" spans="1:10" x14ac:dyDescent="0.25">
      <c r="A105" s="13">
        <f t="shared" si="19"/>
        <v>41621</v>
      </c>
      <c r="B105" s="13" t="b">
        <f t="shared" ca="1" si="10"/>
        <v>0</v>
      </c>
      <c r="C105" s="13" t="b">
        <f t="shared" ca="1" si="11"/>
        <v>0</v>
      </c>
      <c r="D105" s="13" t="b">
        <f t="shared" ca="1" si="12"/>
        <v>0</v>
      </c>
      <c r="E105" s="13" t="b">
        <f t="shared" ca="1" si="13"/>
        <v>0</v>
      </c>
      <c r="F105" s="13" t="b">
        <f t="shared" ca="1" si="14"/>
        <v>0</v>
      </c>
      <c r="G105" t="b">
        <f t="shared" ca="1" si="15"/>
        <v>0</v>
      </c>
      <c r="H105" t="b">
        <f t="shared" ca="1" si="29"/>
        <v>0</v>
      </c>
      <c r="I105" t="b">
        <f t="shared" ca="1" si="30"/>
        <v>1</v>
      </c>
      <c r="J105" t="b">
        <f t="shared" ca="1" si="31"/>
        <v>0</v>
      </c>
    </row>
    <row r="106" spans="1:10" x14ac:dyDescent="0.25">
      <c r="A106" s="13">
        <f t="shared" si="19"/>
        <v>41622</v>
      </c>
      <c r="B106" s="13" t="b">
        <f t="shared" ca="1" si="10"/>
        <v>0</v>
      </c>
      <c r="C106" s="13" t="b">
        <f t="shared" ca="1" si="11"/>
        <v>0</v>
      </c>
      <c r="D106" s="13" t="b">
        <f t="shared" ca="1" si="12"/>
        <v>0</v>
      </c>
      <c r="E106" s="13" t="b">
        <f t="shared" ca="1" si="13"/>
        <v>0</v>
      </c>
      <c r="F106" s="13" t="b">
        <f t="shared" ca="1" si="14"/>
        <v>0</v>
      </c>
      <c r="G106" t="b">
        <f t="shared" ca="1" si="15"/>
        <v>0</v>
      </c>
      <c r="H106" t="b">
        <f t="shared" ca="1" si="29"/>
        <v>0</v>
      </c>
      <c r="I106" t="b">
        <f t="shared" ca="1" si="30"/>
        <v>1</v>
      </c>
      <c r="J106" t="b">
        <f t="shared" ca="1" si="31"/>
        <v>0</v>
      </c>
    </row>
    <row r="107" spans="1:10" x14ac:dyDescent="0.25">
      <c r="A107" s="13">
        <f t="shared" si="19"/>
        <v>41623</v>
      </c>
      <c r="B107" s="13" t="b">
        <f t="shared" ca="1" si="10"/>
        <v>0</v>
      </c>
      <c r="C107" s="13" t="b">
        <f t="shared" ca="1" si="11"/>
        <v>0</v>
      </c>
      <c r="D107" s="13" t="b">
        <f t="shared" ca="1" si="12"/>
        <v>0</v>
      </c>
      <c r="E107" s="13" t="b">
        <f t="shared" ca="1" si="13"/>
        <v>0</v>
      </c>
      <c r="F107" s="13" t="b">
        <f t="shared" ca="1" si="14"/>
        <v>0</v>
      </c>
      <c r="G107" t="b">
        <f t="shared" ca="1" si="15"/>
        <v>0</v>
      </c>
      <c r="H107" t="b">
        <f t="shared" ca="1" si="29"/>
        <v>0</v>
      </c>
      <c r="I107" t="b">
        <f t="shared" ca="1" si="30"/>
        <v>1</v>
      </c>
      <c r="J107" t="b">
        <f t="shared" ca="1" si="31"/>
        <v>0</v>
      </c>
    </row>
    <row r="108" spans="1:10" x14ac:dyDescent="0.25">
      <c r="A108" s="13">
        <f t="shared" si="19"/>
        <v>41624</v>
      </c>
      <c r="B108" s="13" t="b">
        <f t="shared" ca="1" si="10"/>
        <v>0</v>
      </c>
      <c r="C108" s="13" t="b">
        <f t="shared" ca="1" si="11"/>
        <v>0</v>
      </c>
      <c r="D108" s="13" t="b">
        <f t="shared" ca="1" si="12"/>
        <v>0</v>
      </c>
      <c r="E108" s="13" t="b">
        <f t="shared" ca="1" si="13"/>
        <v>0</v>
      </c>
      <c r="F108" s="13" t="b">
        <f t="shared" ca="1" si="14"/>
        <v>0</v>
      </c>
      <c r="G108" t="b">
        <f t="shared" ca="1" si="15"/>
        <v>0</v>
      </c>
      <c r="H108" t="b">
        <f t="shared" ca="1" si="29"/>
        <v>0</v>
      </c>
      <c r="I108" t="b">
        <f t="shared" ca="1" si="30"/>
        <v>1</v>
      </c>
      <c r="J108" t="b">
        <f t="shared" ca="1" si="31"/>
        <v>0</v>
      </c>
    </row>
    <row r="109" spans="1:10" x14ac:dyDescent="0.25">
      <c r="A109" s="13">
        <f t="shared" si="19"/>
        <v>41625</v>
      </c>
      <c r="B109" s="13" t="b">
        <f t="shared" ca="1" si="10"/>
        <v>0</v>
      </c>
      <c r="C109" s="13" t="b">
        <f t="shared" ca="1" si="11"/>
        <v>0</v>
      </c>
      <c r="D109" s="13" t="b">
        <f t="shared" ca="1" si="12"/>
        <v>0</v>
      </c>
      <c r="E109" s="13" t="b">
        <f t="shared" ca="1" si="13"/>
        <v>0</v>
      </c>
      <c r="F109" s="13" t="b">
        <f t="shared" ca="1" si="14"/>
        <v>0</v>
      </c>
      <c r="G109" t="b">
        <f t="shared" ca="1" si="15"/>
        <v>0</v>
      </c>
      <c r="H109" t="b">
        <f t="shared" ca="1" si="29"/>
        <v>0</v>
      </c>
      <c r="I109" t="b">
        <f t="shared" ca="1" si="30"/>
        <v>1</v>
      </c>
      <c r="J109" t="b">
        <f t="shared" ca="1" si="31"/>
        <v>0</v>
      </c>
    </row>
    <row r="110" spans="1:10" x14ac:dyDescent="0.25">
      <c r="A110" s="13">
        <f t="shared" si="19"/>
        <v>41626</v>
      </c>
      <c r="B110" s="13" t="b">
        <f t="shared" ca="1" si="10"/>
        <v>0</v>
      </c>
      <c r="C110" s="13" t="b">
        <f t="shared" ca="1" si="11"/>
        <v>0</v>
      </c>
      <c r="D110" s="13" t="b">
        <f t="shared" ca="1" si="12"/>
        <v>0</v>
      </c>
      <c r="E110" s="13" t="b">
        <f t="shared" ca="1" si="13"/>
        <v>0</v>
      </c>
      <c r="F110" s="13" t="b">
        <f t="shared" ca="1" si="14"/>
        <v>0</v>
      </c>
      <c r="G110" t="b">
        <f t="shared" ca="1" si="15"/>
        <v>0</v>
      </c>
      <c r="H110" t="b">
        <f t="shared" ca="1" si="29"/>
        <v>0</v>
      </c>
      <c r="I110" t="b">
        <f t="shared" ca="1" si="30"/>
        <v>1</v>
      </c>
      <c r="J110" t="b">
        <f t="shared" ca="1" si="31"/>
        <v>0</v>
      </c>
    </row>
    <row r="111" spans="1:10" x14ac:dyDescent="0.25">
      <c r="A111" s="13">
        <f t="shared" si="19"/>
        <v>41627</v>
      </c>
      <c r="B111" s="13" t="b">
        <f t="shared" ca="1" si="10"/>
        <v>0</v>
      </c>
      <c r="C111" s="13" t="b">
        <f t="shared" ca="1" si="11"/>
        <v>0</v>
      </c>
      <c r="D111" s="13" t="b">
        <f t="shared" ca="1" si="12"/>
        <v>0</v>
      </c>
      <c r="E111" s="13" t="b">
        <f t="shared" ca="1" si="13"/>
        <v>0</v>
      </c>
      <c r="F111" s="13" t="b">
        <f t="shared" ca="1" si="14"/>
        <v>0</v>
      </c>
      <c r="G111" t="b">
        <f t="shared" ca="1" si="15"/>
        <v>0</v>
      </c>
      <c r="H111" t="b">
        <f t="shared" ca="1" si="29"/>
        <v>0</v>
      </c>
      <c r="I111" t="b">
        <f t="shared" ca="1" si="30"/>
        <v>1</v>
      </c>
      <c r="J111" t="b">
        <f t="shared" ca="1" si="31"/>
        <v>0</v>
      </c>
    </row>
    <row r="112" spans="1:10" x14ac:dyDescent="0.25">
      <c r="A112" s="13">
        <f t="shared" si="19"/>
        <v>41628</v>
      </c>
      <c r="B112" s="13" t="b">
        <f t="shared" ca="1" si="10"/>
        <v>0</v>
      </c>
      <c r="C112" s="13" t="b">
        <f t="shared" ca="1" si="11"/>
        <v>0</v>
      </c>
      <c r="D112" s="13" t="b">
        <f t="shared" ca="1" si="12"/>
        <v>0</v>
      </c>
      <c r="E112" s="13" t="b">
        <f t="shared" ca="1" si="13"/>
        <v>0</v>
      </c>
      <c r="F112" s="13" t="b">
        <f t="shared" ca="1" si="14"/>
        <v>0</v>
      </c>
      <c r="G112" t="b">
        <f t="shared" ca="1" si="15"/>
        <v>0</v>
      </c>
      <c r="H112" t="b">
        <f t="shared" ca="1" si="29"/>
        <v>0</v>
      </c>
      <c r="I112" t="b">
        <f t="shared" ca="1" si="30"/>
        <v>1</v>
      </c>
      <c r="J112" t="b">
        <f t="shared" ca="1" si="31"/>
        <v>0</v>
      </c>
    </row>
    <row r="113" spans="1:10" x14ac:dyDescent="0.25">
      <c r="A113" s="13">
        <f t="shared" si="19"/>
        <v>41629</v>
      </c>
      <c r="B113" s="13" t="b">
        <f t="shared" ca="1" si="10"/>
        <v>0</v>
      </c>
      <c r="C113" s="13" t="b">
        <f t="shared" ca="1" si="11"/>
        <v>0</v>
      </c>
      <c r="D113" s="13" t="b">
        <f t="shared" ca="1" si="12"/>
        <v>0</v>
      </c>
      <c r="E113" s="13" t="b">
        <f t="shared" ca="1" si="13"/>
        <v>0</v>
      </c>
      <c r="F113" s="13" t="b">
        <f t="shared" ca="1" si="14"/>
        <v>0</v>
      </c>
      <c r="G113" t="b">
        <f t="shared" ca="1" si="15"/>
        <v>0</v>
      </c>
      <c r="H113" t="b">
        <f t="shared" ca="1" si="29"/>
        <v>0</v>
      </c>
      <c r="I113" t="b">
        <f t="shared" ca="1" si="30"/>
        <v>1</v>
      </c>
      <c r="J113" t="b">
        <f t="shared" ca="1" si="31"/>
        <v>0</v>
      </c>
    </row>
    <row r="114" spans="1:10" x14ac:dyDescent="0.25">
      <c r="A114" s="13">
        <f t="shared" si="19"/>
        <v>41630</v>
      </c>
      <c r="B114" s="13" t="b">
        <f t="shared" ca="1" si="10"/>
        <v>0</v>
      </c>
      <c r="C114" s="13" t="b">
        <f t="shared" ca="1" si="11"/>
        <v>0</v>
      </c>
      <c r="D114" s="13" t="b">
        <f t="shared" ca="1" si="12"/>
        <v>0</v>
      </c>
      <c r="E114" s="13" t="b">
        <f t="shared" ca="1" si="13"/>
        <v>1</v>
      </c>
      <c r="F114" s="13" t="b">
        <f t="shared" ca="1" si="14"/>
        <v>0</v>
      </c>
      <c r="G114" t="b">
        <f t="shared" ca="1" si="15"/>
        <v>1</v>
      </c>
      <c r="H114" t="b">
        <f t="shared" ca="1" si="29"/>
        <v>0</v>
      </c>
      <c r="I114" t="b">
        <f t="shared" ca="1" si="30"/>
        <v>1</v>
      </c>
      <c r="J114" t="b">
        <f t="shared" ca="1" si="31"/>
        <v>0</v>
      </c>
    </row>
    <row r="115" spans="1:10" x14ac:dyDescent="0.25">
      <c r="A115" s="13">
        <f t="shared" si="19"/>
        <v>41631</v>
      </c>
      <c r="B115" s="13" t="b">
        <f t="shared" ca="1" si="10"/>
        <v>0</v>
      </c>
      <c r="C115" s="13" t="b">
        <f t="shared" ca="1" si="11"/>
        <v>0</v>
      </c>
      <c r="D115" s="13" t="b">
        <f t="shared" ca="1" si="12"/>
        <v>0</v>
      </c>
      <c r="E115" s="13" t="b">
        <f t="shared" ca="1" si="13"/>
        <v>1</v>
      </c>
      <c r="F115" s="13" t="b">
        <f t="shared" ca="1" si="14"/>
        <v>0</v>
      </c>
      <c r="G115" t="b">
        <f t="shared" ca="1" si="15"/>
        <v>1</v>
      </c>
      <c r="H115" t="b">
        <f t="shared" ca="1" si="29"/>
        <v>0</v>
      </c>
      <c r="I115" t="b">
        <f t="shared" ca="1" si="30"/>
        <v>1</v>
      </c>
      <c r="J115" t="b">
        <f t="shared" ca="1" si="31"/>
        <v>0</v>
      </c>
    </row>
    <row r="116" spans="1:10" x14ac:dyDescent="0.25">
      <c r="A116" s="13">
        <f t="shared" si="19"/>
        <v>41632</v>
      </c>
      <c r="B116" s="13" t="b">
        <f t="shared" ca="1" si="10"/>
        <v>0</v>
      </c>
      <c r="C116" s="13" t="b">
        <f t="shared" ca="1" si="11"/>
        <v>0</v>
      </c>
      <c r="D116" s="13" t="b">
        <f t="shared" ca="1" si="12"/>
        <v>0</v>
      </c>
      <c r="E116" s="13" t="b">
        <f t="shared" ca="1" si="13"/>
        <v>1</v>
      </c>
      <c r="F116" s="13" t="b">
        <f t="shared" ca="1" si="14"/>
        <v>0</v>
      </c>
      <c r="G116" t="b">
        <f t="shared" ca="1" si="15"/>
        <v>1</v>
      </c>
      <c r="H116" t="b">
        <f t="shared" ca="1" si="29"/>
        <v>0</v>
      </c>
      <c r="I116" t="b">
        <f t="shared" ca="1" si="30"/>
        <v>1</v>
      </c>
      <c r="J116" t="b">
        <f t="shared" ca="1" si="31"/>
        <v>0</v>
      </c>
    </row>
    <row r="117" spans="1:10" x14ac:dyDescent="0.25">
      <c r="A117" s="13">
        <f t="shared" si="19"/>
        <v>41633</v>
      </c>
      <c r="B117" s="13" t="b">
        <f t="shared" ca="1" si="10"/>
        <v>0</v>
      </c>
      <c r="C117" s="13" t="b">
        <f t="shared" ca="1" si="11"/>
        <v>0</v>
      </c>
      <c r="D117" s="13" t="b">
        <f t="shared" ca="1" si="12"/>
        <v>0</v>
      </c>
      <c r="E117" s="13" t="b">
        <f t="shared" ca="1" si="13"/>
        <v>1</v>
      </c>
      <c r="F117" s="13" t="b">
        <f t="shared" ca="1" si="14"/>
        <v>0</v>
      </c>
      <c r="G117" t="b">
        <f t="shared" ca="1" si="15"/>
        <v>1</v>
      </c>
      <c r="H117" t="b">
        <f t="shared" ca="1" si="29"/>
        <v>0</v>
      </c>
      <c r="I117" t="b">
        <f t="shared" ca="1" si="30"/>
        <v>1</v>
      </c>
      <c r="J117" t="b">
        <f t="shared" ca="1" si="31"/>
        <v>0</v>
      </c>
    </row>
    <row r="118" spans="1:10" x14ac:dyDescent="0.25">
      <c r="A118" s="13">
        <f t="shared" si="19"/>
        <v>41634</v>
      </c>
      <c r="B118" s="13" t="b">
        <f t="shared" ca="1" si="10"/>
        <v>0</v>
      </c>
      <c r="C118" s="13" t="b">
        <f t="shared" ca="1" si="11"/>
        <v>0</v>
      </c>
      <c r="D118" s="13" t="b">
        <f t="shared" ca="1" si="12"/>
        <v>0</v>
      </c>
      <c r="E118" s="13" t="b">
        <f t="shared" ca="1" si="13"/>
        <v>1</v>
      </c>
      <c r="F118" s="13" t="b">
        <f t="shared" ca="1" si="14"/>
        <v>0</v>
      </c>
      <c r="G118" t="b">
        <f t="shared" ca="1" si="15"/>
        <v>1</v>
      </c>
      <c r="H118" t="b">
        <f t="shared" ca="1" si="29"/>
        <v>0</v>
      </c>
      <c r="I118" t="b">
        <f t="shared" ca="1" si="30"/>
        <v>1</v>
      </c>
      <c r="J118" t="b">
        <f t="shared" ca="1" si="31"/>
        <v>0</v>
      </c>
    </row>
    <row r="119" spans="1:10" x14ac:dyDescent="0.25">
      <c r="A119" s="13">
        <f t="shared" si="19"/>
        <v>41635</v>
      </c>
      <c r="B119" s="13" t="b">
        <f t="shared" ca="1" si="10"/>
        <v>0</v>
      </c>
      <c r="C119" s="13" t="b">
        <f t="shared" ca="1" si="11"/>
        <v>0</v>
      </c>
      <c r="D119" s="13" t="b">
        <f t="shared" ca="1" si="12"/>
        <v>0</v>
      </c>
      <c r="E119" s="13" t="b">
        <f t="shared" ca="1" si="13"/>
        <v>1</v>
      </c>
      <c r="F119" s="13" t="b">
        <f t="shared" ca="1" si="14"/>
        <v>0</v>
      </c>
      <c r="G119" t="b">
        <f t="shared" ca="1" si="15"/>
        <v>1</v>
      </c>
      <c r="H119" t="b">
        <f t="shared" ca="1" si="29"/>
        <v>0</v>
      </c>
      <c r="I119" t="b">
        <f t="shared" ca="1" si="30"/>
        <v>1</v>
      </c>
      <c r="J119" t="b">
        <f t="shared" ca="1" si="31"/>
        <v>0</v>
      </c>
    </row>
    <row r="120" spans="1:10" x14ac:dyDescent="0.25">
      <c r="A120" s="13">
        <f t="shared" si="19"/>
        <v>41636</v>
      </c>
      <c r="B120" s="13" t="b">
        <f t="shared" ca="1" si="10"/>
        <v>0</v>
      </c>
      <c r="C120" s="13" t="b">
        <f t="shared" ca="1" si="11"/>
        <v>0</v>
      </c>
      <c r="D120" s="13" t="b">
        <f t="shared" ca="1" si="12"/>
        <v>0</v>
      </c>
      <c r="E120" s="13" t="b">
        <f t="shared" ca="1" si="13"/>
        <v>1</v>
      </c>
      <c r="F120" s="13" t="b">
        <f t="shared" ca="1" si="14"/>
        <v>0</v>
      </c>
      <c r="G120" t="b">
        <f t="shared" ca="1" si="15"/>
        <v>1</v>
      </c>
      <c r="H120" t="b">
        <f t="shared" ca="1" si="29"/>
        <v>0</v>
      </c>
      <c r="I120" t="b">
        <f t="shared" ca="1" si="30"/>
        <v>1</v>
      </c>
      <c r="J120" t="b">
        <f t="shared" ca="1" si="31"/>
        <v>0</v>
      </c>
    </row>
    <row r="121" spans="1:10" x14ac:dyDescent="0.25">
      <c r="A121" s="13">
        <f t="shared" si="19"/>
        <v>41637</v>
      </c>
      <c r="B121" s="13" t="b">
        <f t="shared" ca="1" si="10"/>
        <v>0</v>
      </c>
      <c r="C121" s="13" t="b">
        <f t="shared" ca="1" si="11"/>
        <v>0</v>
      </c>
      <c r="D121" s="13" t="b">
        <f t="shared" ca="1" si="12"/>
        <v>0</v>
      </c>
      <c r="E121" s="13" t="b">
        <f t="shared" ca="1" si="13"/>
        <v>0</v>
      </c>
      <c r="F121" s="13" t="b">
        <f t="shared" ca="1" si="14"/>
        <v>1</v>
      </c>
      <c r="G121" t="b">
        <f t="shared" ca="1" si="15"/>
        <v>0</v>
      </c>
      <c r="H121" t="b">
        <f t="shared" ca="1" si="29"/>
        <v>0</v>
      </c>
      <c r="I121" t="b">
        <f t="shared" ca="1" si="30"/>
        <v>1</v>
      </c>
      <c r="J121" t="b">
        <f t="shared" ca="1" si="31"/>
        <v>0</v>
      </c>
    </row>
    <row r="122" spans="1:10" x14ac:dyDescent="0.25">
      <c r="A122" s="13">
        <f t="shared" si="19"/>
        <v>41638</v>
      </c>
      <c r="B122" s="13" t="b">
        <f t="shared" ca="1" si="10"/>
        <v>0</v>
      </c>
      <c r="C122" s="13" t="b">
        <f t="shared" ca="1" si="11"/>
        <v>0</v>
      </c>
      <c r="D122" s="13" t="b">
        <f t="shared" ca="1" si="12"/>
        <v>0</v>
      </c>
      <c r="E122" s="13" t="b">
        <f t="shared" ca="1" si="13"/>
        <v>0</v>
      </c>
      <c r="F122" s="13" t="b">
        <f t="shared" ca="1" si="14"/>
        <v>1</v>
      </c>
      <c r="G122" t="b">
        <f t="shared" ca="1" si="15"/>
        <v>0</v>
      </c>
      <c r="H122" t="b">
        <f t="shared" ca="1" si="29"/>
        <v>0</v>
      </c>
      <c r="I122" t="b">
        <f t="shared" ca="1" si="30"/>
        <v>1</v>
      </c>
      <c r="J122" t="b">
        <f t="shared" ca="1" si="31"/>
        <v>0</v>
      </c>
    </row>
  </sheetData>
  <conditionalFormatting sqref="B2:B122">
    <cfRule type="expression" dxfId="22" priority="10">
      <formula>$A2=TODAY()</formula>
    </cfRule>
  </conditionalFormatting>
  <conditionalFormatting sqref="C2:C122">
    <cfRule type="expression" dxfId="21" priority="9">
      <formula>$A2=TODAY()-1</formula>
    </cfRule>
  </conditionalFormatting>
  <conditionalFormatting sqref="E2:E122">
    <cfRule type="expression" dxfId="20" priority="7">
      <formula>WEEKNUM($A2)=WEEKNUM(TODAY()-1)</formula>
    </cfRule>
  </conditionalFormatting>
  <conditionalFormatting sqref="D2:D122">
    <cfRule type="expression" dxfId="19" priority="6">
      <formula>$A2=TODAY()+1</formula>
    </cfRule>
  </conditionalFormatting>
  <conditionalFormatting sqref="F2:F122">
    <cfRule type="expression" dxfId="18" priority="5">
      <formula>WEEKNUM($A2)=WEEKNUM(TODAY())+1</formula>
    </cfRule>
  </conditionalFormatting>
  <conditionalFormatting sqref="G2:G122">
    <cfRule type="expression" dxfId="17" priority="4">
      <formula>WEEKNUM($A2)=WEEKNUM(TODAY())</formula>
    </cfRule>
  </conditionalFormatting>
  <conditionalFormatting sqref="H2:H122">
    <cfRule type="expression" dxfId="16" priority="3">
      <formula>MONTH($A2)=MONTH(TODAY())-1</formula>
    </cfRule>
  </conditionalFormatting>
  <conditionalFormatting sqref="I2:I122">
    <cfRule type="expression" dxfId="15" priority="2">
      <formula>MONTH($A2)=MONTH(TODAY())</formula>
    </cfRule>
  </conditionalFormatting>
  <conditionalFormatting sqref="J2:J122">
    <cfRule type="expression" dxfId="14" priority="1">
      <formula>MONTH($A2)=MONTH(TODAY())+1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93"/>
  <sheetViews>
    <sheetView workbookViewId="0">
      <selection activeCell="B1" sqref="B1"/>
    </sheetView>
  </sheetViews>
  <sheetFormatPr defaultRowHeight="15" x14ac:dyDescent="0.25"/>
  <cols>
    <col min="1" max="1" width="11.5703125" bestFit="1" customWidth="1"/>
  </cols>
  <sheetData>
    <row r="1" spans="1:2" x14ac:dyDescent="0.25">
      <c r="A1" t="s">
        <v>53</v>
      </c>
      <c r="B1" t="s">
        <v>110</v>
      </c>
    </row>
    <row r="2" spans="1:2" x14ac:dyDescent="0.25">
      <c r="A2" s="13">
        <v>41214</v>
      </c>
      <c r="B2" t="str">
        <f>TEXT(A2,"ddd")</f>
        <v>Thu</v>
      </c>
    </row>
    <row r="3" spans="1:2" x14ac:dyDescent="0.25">
      <c r="A3" s="13">
        <f>A2+1</f>
        <v>41215</v>
      </c>
      <c r="B3" t="str">
        <f t="shared" ref="B3:B66" si="0">TEXT(A3,"ddd")</f>
        <v>Fri</v>
      </c>
    </row>
    <row r="4" spans="1:2" x14ac:dyDescent="0.25">
      <c r="A4" s="13">
        <f t="shared" ref="A4:A67" si="1">A3+1</f>
        <v>41216</v>
      </c>
      <c r="B4" t="str">
        <f t="shared" si="0"/>
        <v>Sat</v>
      </c>
    </row>
    <row r="5" spans="1:2" x14ac:dyDescent="0.25">
      <c r="A5" s="13">
        <f t="shared" si="1"/>
        <v>41217</v>
      </c>
      <c r="B5" t="str">
        <f t="shared" si="0"/>
        <v>Sun</v>
      </c>
    </row>
    <row r="6" spans="1:2" x14ac:dyDescent="0.25">
      <c r="A6" s="13">
        <f t="shared" si="1"/>
        <v>41218</v>
      </c>
      <c r="B6" t="str">
        <f t="shared" si="0"/>
        <v>Mon</v>
      </c>
    </row>
    <row r="7" spans="1:2" x14ac:dyDescent="0.25">
      <c r="A7" s="13">
        <f t="shared" si="1"/>
        <v>41219</v>
      </c>
      <c r="B7" t="str">
        <f t="shared" si="0"/>
        <v>Tue</v>
      </c>
    </row>
    <row r="8" spans="1:2" x14ac:dyDescent="0.25">
      <c r="A8" s="13">
        <f t="shared" si="1"/>
        <v>41220</v>
      </c>
      <c r="B8" t="str">
        <f t="shared" si="0"/>
        <v>Wed</v>
      </c>
    </row>
    <row r="9" spans="1:2" x14ac:dyDescent="0.25">
      <c r="A9" s="13">
        <f t="shared" si="1"/>
        <v>41221</v>
      </c>
      <c r="B9" t="str">
        <f t="shared" si="0"/>
        <v>Thu</v>
      </c>
    </row>
    <row r="10" spans="1:2" x14ac:dyDescent="0.25">
      <c r="A10" s="13">
        <f t="shared" si="1"/>
        <v>41222</v>
      </c>
      <c r="B10" t="str">
        <f t="shared" si="0"/>
        <v>Fri</v>
      </c>
    </row>
    <row r="11" spans="1:2" x14ac:dyDescent="0.25">
      <c r="A11" s="13">
        <f t="shared" si="1"/>
        <v>41223</v>
      </c>
      <c r="B11" t="str">
        <f t="shared" si="0"/>
        <v>Sat</v>
      </c>
    </row>
    <row r="12" spans="1:2" x14ac:dyDescent="0.25">
      <c r="A12" s="13">
        <f t="shared" si="1"/>
        <v>41224</v>
      </c>
      <c r="B12" t="str">
        <f t="shared" si="0"/>
        <v>Sun</v>
      </c>
    </row>
    <row r="13" spans="1:2" x14ac:dyDescent="0.25">
      <c r="A13" s="13">
        <f t="shared" si="1"/>
        <v>41225</v>
      </c>
      <c r="B13" t="str">
        <f t="shared" si="0"/>
        <v>Mon</v>
      </c>
    </row>
    <row r="14" spans="1:2" x14ac:dyDescent="0.25">
      <c r="A14" s="13">
        <f t="shared" si="1"/>
        <v>41226</v>
      </c>
      <c r="B14" t="str">
        <f t="shared" si="0"/>
        <v>Tue</v>
      </c>
    </row>
    <row r="15" spans="1:2" x14ac:dyDescent="0.25">
      <c r="A15" s="13">
        <f t="shared" si="1"/>
        <v>41227</v>
      </c>
      <c r="B15" t="str">
        <f t="shared" si="0"/>
        <v>Wed</v>
      </c>
    </row>
    <row r="16" spans="1:2" x14ac:dyDescent="0.25">
      <c r="A16" s="13">
        <f t="shared" si="1"/>
        <v>41228</v>
      </c>
      <c r="B16" t="str">
        <f t="shared" si="0"/>
        <v>Thu</v>
      </c>
    </row>
    <row r="17" spans="1:2" x14ac:dyDescent="0.25">
      <c r="A17" s="13">
        <f t="shared" si="1"/>
        <v>41229</v>
      </c>
      <c r="B17" t="str">
        <f t="shared" si="0"/>
        <v>Fri</v>
      </c>
    </row>
    <row r="18" spans="1:2" x14ac:dyDescent="0.25">
      <c r="A18" s="13">
        <f t="shared" si="1"/>
        <v>41230</v>
      </c>
      <c r="B18" t="str">
        <f t="shared" si="0"/>
        <v>Sat</v>
      </c>
    </row>
    <row r="19" spans="1:2" x14ac:dyDescent="0.25">
      <c r="A19" s="13">
        <f t="shared" si="1"/>
        <v>41231</v>
      </c>
      <c r="B19" t="str">
        <f t="shared" si="0"/>
        <v>Sun</v>
      </c>
    </row>
    <row r="20" spans="1:2" x14ac:dyDescent="0.25">
      <c r="A20" s="13">
        <f t="shared" si="1"/>
        <v>41232</v>
      </c>
      <c r="B20" t="str">
        <f t="shared" si="0"/>
        <v>Mon</v>
      </c>
    </row>
    <row r="21" spans="1:2" x14ac:dyDescent="0.25">
      <c r="A21" s="13">
        <f t="shared" si="1"/>
        <v>41233</v>
      </c>
      <c r="B21" t="str">
        <f t="shared" si="0"/>
        <v>Tue</v>
      </c>
    </row>
    <row r="22" spans="1:2" x14ac:dyDescent="0.25">
      <c r="A22" s="13">
        <f t="shared" si="1"/>
        <v>41234</v>
      </c>
      <c r="B22" t="str">
        <f t="shared" si="0"/>
        <v>Wed</v>
      </c>
    </row>
    <row r="23" spans="1:2" x14ac:dyDescent="0.25">
      <c r="A23" s="13">
        <f t="shared" si="1"/>
        <v>41235</v>
      </c>
      <c r="B23" t="str">
        <f t="shared" si="0"/>
        <v>Thu</v>
      </c>
    </row>
    <row r="24" spans="1:2" x14ac:dyDescent="0.25">
      <c r="A24" s="13">
        <f t="shared" si="1"/>
        <v>41236</v>
      </c>
      <c r="B24" t="str">
        <f t="shared" si="0"/>
        <v>Fri</v>
      </c>
    </row>
    <row r="25" spans="1:2" x14ac:dyDescent="0.25">
      <c r="A25" s="13">
        <f t="shared" si="1"/>
        <v>41237</v>
      </c>
      <c r="B25" t="str">
        <f t="shared" si="0"/>
        <v>Sat</v>
      </c>
    </row>
    <row r="26" spans="1:2" x14ac:dyDescent="0.25">
      <c r="A26" s="13">
        <f t="shared" si="1"/>
        <v>41238</v>
      </c>
      <c r="B26" t="str">
        <f t="shared" si="0"/>
        <v>Sun</v>
      </c>
    </row>
    <row r="27" spans="1:2" x14ac:dyDescent="0.25">
      <c r="A27" s="13">
        <f t="shared" si="1"/>
        <v>41239</v>
      </c>
      <c r="B27" t="str">
        <f t="shared" si="0"/>
        <v>Mon</v>
      </c>
    </row>
    <row r="28" spans="1:2" x14ac:dyDescent="0.25">
      <c r="A28" s="13">
        <f t="shared" si="1"/>
        <v>41240</v>
      </c>
      <c r="B28" t="str">
        <f t="shared" si="0"/>
        <v>Tue</v>
      </c>
    </row>
    <row r="29" spans="1:2" x14ac:dyDescent="0.25">
      <c r="A29" s="13">
        <f t="shared" si="1"/>
        <v>41241</v>
      </c>
      <c r="B29" t="str">
        <f t="shared" si="0"/>
        <v>Wed</v>
      </c>
    </row>
    <row r="30" spans="1:2" x14ac:dyDescent="0.25">
      <c r="A30" s="13">
        <f t="shared" si="1"/>
        <v>41242</v>
      </c>
      <c r="B30" t="str">
        <f t="shared" si="0"/>
        <v>Thu</v>
      </c>
    </row>
    <row r="31" spans="1:2" x14ac:dyDescent="0.25">
      <c r="A31" s="13">
        <f t="shared" si="1"/>
        <v>41243</v>
      </c>
      <c r="B31" t="str">
        <f t="shared" si="0"/>
        <v>Fri</v>
      </c>
    </row>
    <row r="32" spans="1:2" x14ac:dyDescent="0.25">
      <c r="A32" s="13">
        <f t="shared" si="1"/>
        <v>41244</v>
      </c>
      <c r="B32" t="str">
        <f t="shared" si="0"/>
        <v>Sat</v>
      </c>
    </row>
    <row r="33" spans="1:2" x14ac:dyDescent="0.25">
      <c r="A33" s="13">
        <f t="shared" si="1"/>
        <v>41245</v>
      </c>
      <c r="B33" t="str">
        <f t="shared" si="0"/>
        <v>Sun</v>
      </c>
    </row>
    <row r="34" spans="1:2" x14ac:dyDescent="0.25">
      <c r="A34" s="13">
        <f t="shared" si="1"/>
        <v>41246</v>
      </c>
      <c r="B34" t="str">
        <f t="shared" si="0"/>
        <v>Mon</v>
      </c>
    </row>
    <row r="35" spans="1:2" x14ac:dyDescent="0.25">
      <c r="A35" s="13">
        <f t="shared" si="1"/>
        <v>41247</v>
      </c>
      <c r="B35" t="str">
        <f t="shared" si="0"/>
        <v>Tue</v>
      </c>
    </row>
    <row r="36" spans="1:2" x14ac:dyDescent="0.25">
      <c r="A36" s="13">
        <f t="shared" si="1"/>
        <v>41248</v>
      </c>
      <c r="B36" t="str">
        <f t="shared" si="0"/>
        <v>Wed</v>
      </c>
    </row>
    <row r="37" spans="1:2" x14ac:dyDescent="0.25">
      <c r="A37" s="13">
        <f t="shared" si="1"/>
        <v>41249</v>
      </c>
      <c r="B37" t="str">
        <f t="shared" si="0"/>
        <v>Thu</v>
      </c>
    </row>
    <row r="38" spans="1:2" x14ac:dyDescent="0.25">
      <c r="A38" s="13">
        <f t="shared" si="1"/>
        <v>41250</v>
      </c>
      <c r="B38" t="str">
        <f t="shared" si="0"/>
        <v>Fri</v>
      </c>
    </row>
    <row r="39" spans="1:2" x14ac:dyDescent="0.25">
      <c r="A39" s="13">
        <f t="shared" si="1"/>
        <v>41251</v>
      </c>
      <c r="B39" t="str">
        <f t="shared" si="0"/>
        <v>Sat</v>
      </c>
    </row>
    <row r="40" spans="1:2" x14ac:dyDescent="0.25">
      <c r="A40" s="13">
        <f t="shared" si="1"/>
        <v>41252</v>
      </c>
      <c r="B40" t="str">
        <f t="shared" si="0"/>
        <v>Sun</v>
      </c>
    </row>
    <row r="41" spans="1:2" x14ac:dyDescent="0.25">
      <c r="A41" s="13">
        <f t="shared" si="1"/>
        <v>41253</v>
      </c>
      <c r="B41" t="str">
        <f t="shared" si="0"/>
        <v>Mon</v>
      </c>
    </row>
    <row r="42" spans="1:2" x14ac:dyDescent="0.25">
      <c r="A42" s="13">
        <f t="shared" si="1"/>
        <v>41254</v>
      </c>
      <c r="B42" t="str">
        <f t="shared" si="0"/>
        <v>Tue</v>
      </c>
    </row>
    <row r="43" spans="1:2" x14ac:dyDescent="0.25">
      <c r="A43" s="13">
        <f t="shared" si="1"/>
        <v>41255</v>
      </c>
      <c r="B43" t="str">
        <f t="shared" si="0"/>
        <v>Wed</v>
      </c>
    </row>
    <row r="44" spans="1:2" x14ac:dyDescent="0.25">
      <c r="A44" s="13">
        <f t="shared" si="1"/>
        <v>41256</v>
      </c>
      <c r="B44" t="str">
        <f t="shared" si="0"/>
        <v>Thu</v>
      </c>
    </row>
    <row r="45" spans="1:2" x14ac:dyDescent="0.25">
      <c r="A45" s="13">
        <f t="shared" si="1"/>
        <v>41257</v>
      </c>
      <c r="B45" t="str">
        <f t="shared" si="0"/>
        <v>Fri</v>
      </c>
    </row>
    <row r="46" spans="1:2" x14ac:dyDescent="0.25">
      <c r="A46" s="13">
        <f t="shared" si="1"/>
        <v>41258</v>
      </c>
      <c r="B46" t="str">
        <f t="shared" si="0"/>
        <v>Sat</v>
      </c>
    </row>
    <row r="47" spans="1:2" x14ac:dyDescent="0.25">
      <c r="A47" s="13">
        <f t="shared" si="1"/>
        <v>41259</v>
      </c>
      <c r="B47" t="str">
        <f t="shared" si="0"/>
        <v>Sun</v>
      </c>
    </row>
    <row r="48" spans="1:2" x14ac:dyDescent="0.25">
      <c r="A48" s="13">
        <f t="shared" si="1"/>
        <v>41260</v>
      </c>
      <c r="B48" t="str">
        <f t="shared" si="0"/>
        <v>Mon</v>
      </c>
    </row>
    <row r="49" spans="1:2" x14ac:dyDescent="0.25">
      <c r="A49" s="13">
        <f t="shared" si="1"/>
        <v>41261</v>
      </c>
      <c r="B49" t="str">
        <f t="shared" si="0"/>
        <v>Tue</v>
      </c>
    </row>
    <row r="50" spans="1:2" x14ac:dyDescent="0.25">
      <c r="A50" s="13">
        <f t="shared" si="1"/>
        <v>41262</v>
      </c>
      <c r="B50" t="str">
        <f t="shared" si="0"/>
        <v>Wed</v>
      </c>
    </row>
    <row r="51" spans="1:2" x14ac:dyDescent="0.25">
      <c r="A51" s="13">
        <f t="shared" si="1"/>
        <v>41263</v>
      </c>
      <c r="B51" t="str">
        <f t="shared" si="0"/>
        <v>Thu</v>
      </c>
    </row>
    <row r="52" spans="1:2" x14ac:dyDescent="0.25">
      <c r="A52" s="13">
        <f t="shared" si="1"/>
        <v>41264</v>
      </c>
      <c r="B52" t="str">
        <f t="shared" si="0"/>
        <v>Fri</v>
      </c>
    </row>
    <row r="53" spans="1:2" x14ac:dyDescent="0.25">
      <c r="A53" s="13">
        <f t="shared" si="1"/>
        <v>41265</v>
      </c>
      <c r="B53" t="str">
        <f t="shared" si="0"/>
        <v>Sat</v>
      </c>
    </row>
    <row r="54" spans="1:2" x14ac:dyDescent="0.25">
      <c r="A54" s="13">
        <f t="shared" si="1"/>
        <v>41266</v>
      </c>
      <c r="B54" t="str">
        <f t="shared" si="0"/>
        <v>Sun</v>
      </c>
    </row>
    <row r="55" spans="1:2" x14ac:dyDescent="0.25">
      <c r="A55" s="13">
        <f t="shared" si="1"/>
        <v>41267</v>
      </c>
      <c r="B55" t="str">
        <f t="shared" si="0"/>
        <v>Mon</v>
      </c>
    </row>
    <row r="56" spans="1:2" x14ac:dyDescent="0.25">
      <c r="A56" s="13">
        <f t="shared" si="1"/>
        <v>41268</v>
      </c>
      <c r="B56" t="str">
        <f t="shared" si="0"/>
        <v>Tue</v>
      </c>
    </row>
    <row r="57" spans="1:2" x14ac:dyDescent="0.25">
      <c r="A57" s="13">
        <f t="shared" si="1"/>
        <v>41269</v>
      </c>
      <c r="B57" t="str">
        <f t="shared" si="0"/>
        <v>Wed</v>
      </c>
    </row>
    <row r="58" spans="1:2" x14ac:dyDescent="0.25">
      <c r="A58" s="13">
        <f t="shared" si="1"/>
        <v>41270</v>
      </c>
      <c r="B58" t="str">
        <f t="shared" si="0"/>
        <v>Thu</v>
      </c>
    </row>
    <row r="59" spans="1:2" x14ac:dyDescent="0.25">
      <c r="A59" s="13">
        <f t="shared" si="1"/>
        <v>41271</v>
      </c>
      <c r="B59" t="str">
        <f t="shared" si="0"/>
        <v>Fri</v>
      </c>
    </row>
    <row r="60" spans="1:2" x14ac:dyDescent="0.25">
      <c r="A60" s="13">
        <f t="shared" si="1"/>
        <v>41272</v>
      </c>
      <c r="B60" t="str">
        <f t="shared" si="0"/>
        <v>Sat</v>
      </c>
    </row>
    <row r="61" spans="1:2" x14ac:dyDescent="0.25">
      <c r="A61" s="13">
        <f t="shared" si="1"/>
        <v>41273</v>
      </c>
      <c r="B61" t="str">
        <f t="shared" si="0"/>
        <v>Sun</v>
      </c>
    </row>
    <row r="62" spans="1:2" x14ac:dyDescent="0.25">
      <c r="A62" s="13">
        <f t="shared" si="1"/>
        <v>41274</v>
      </c>
      <c r="B62" t="str">
        <f t="shared" si="0"/>
        <v>Mon</v>
      </c>
    </row>
    <row r="63" spans="1:2" x14ac:dyDescent="0.25">
      <c r="A63" s="13">
        <f t="shared" si="1"/>
        <v>41275</v>
      </c>
      <c r="B63" t="str">
        <f t="shared" si="0"/>
        <v>Tue</v>
      </c>
    </row>
    <row r="64" spans="1:2" x14ac:dyDescent="0.25">
      <c r="A64" s="13">
        <f t="shared" si="1"/>
        <v>41276</v>
      </c>
      <c r="B64" t="str">
        <f t="shared" si="0"/>
        <v>Wed</v>
      </c>
    </row>
    <row r="65" spans="1:2" x14ac:dyDescent="0.25">
      <c r="A65" s="13">
        <f t="shared" si="1"/>
        <v>41277</v>
      </c>
      <c r="B65" t="str">
        <f t="shared" si="0"/>
        <v>Thu</v>
      </c>
    </row>
    <row r="66" spans="1:2" x14ac:dyDescent="0.25">
      <c r="A66" s="13">
        <f t="shared" si="1"/>
        <v>41278</v>
      </c>
      <c r="B66" t="str">
        <f t="shared" si="0"/>
        <v>Fri</v>
      </c>
    </row>
    <row r="67" spans="1:2" x14ac:dyDescent="0.25">
      <c r="A67" s="13">
        <f t="shared" si="1"/>
        <v>41279</v>
      </c>
      <c r="B67" t="str">
        <f t="shared" ref="B67:B93" si="2">TEXT(A67,"ddd")</f>
        <v>Sat</v>
      </c>
    </row>
    <row r="68" spans="1:2" x14ac:dyDescent="0.25">
      <c r="A68" s="13">
        <f t="shared" ref="A68:A93" si="3">A67+1</f>
        <v>41280</v>
      </c>
      <c r="B68" t="str">
        <f t="shared" si="2"/>
        <v>Sun</v>
      </c>
    </row>
    <row r="69" spans="1:2" x14ac:dyDescent="0.25">
      <c r="A69" s="13">
        <f t="shared" si="3"/>
        <v>41281</v>
      </c>
      <c r="B69" t="str">
        <f t="shared" si="2"/>
        <v>Mon</v>
      </c>
    </row>
    <row r="70" spans="1:2" x14ac:dyDescent="0.25">
      <c r="A70" s="13">
        <f t="shared" si="3"/>
        <v>41282</v>
      </c>
      <c r="B70" t="str">
        <f t="shared" si="2"/>
        <v>Tue</v>
      </c>
    </row>
    <row r="71" spans="1:2" x14ac:dyDescent="0.25">
      <c r="A71" s="13">
        <f t="shared" si="3"/>
        <v>41283</v>
      </c>
      <c r="B71" t="str">
        <f t="shared" si="2"/>
        <v>Wed</v>
      </c>
    </row>
    <row r="72" spans="1:2" x14ac:dyDescent="0.25">
      <c r="A72" s="13">
        <f t="shared" si="3"/>
        <v>41284</v>
      </c>
      <c r="B72" t="str">
        <f t="shared" si="2"/>
        <v>Thu</v>
      </c>
    </row>
    <row r="73" spans="1:2" x14ac:dyDescent="0.25">
      <c r="A73" s="13">
        <f t="shared" si="3"/>
        <v>41285</v>
      </c>
      <c r="B73" t="str">
        <f t="shared" si="2"/>
        <v>Fri</v>
      </c>
    </row>
    <row r="74" spans="1:2" x14ac:dyDescent="0.25">
      <c r="A74" s="13">
        <f t="shared" si="3"/>
        <v>41286</v>
      </c>
      <c r="B74" t="str">
        <f t="shared" si="2"/>
        <v>Sat</v>
      </c>
    </row>
    <row r="75" spans="1:2" x14ac:dyDescent="0.25">
      <c r="A75" s="13">
        <f t="shared" si="3"/>
        <v>41287</v>
      </c>
      <c r="B75" t="str">
        <f t="shared" si="2"/>
        <v>Sun</v>
      </c>
    </row>
    <row r="76" spans="1:2" x14ac:dyDescent="0.25">
      <c r="A76" s="13">
        <f t="shared" si="3"/>
        <v>41288</v>
      </c>
      <c r="B76" t="str">
        <f t="shared" si="2"/>
        <v>Mon</v>
      </c>
    </row>
    <row r="77" spans="1:2" x14ac:dyDescent="0.25">
      <c r="A77" s="13">
        <f t="shared" si="3"/>
        <v>41289</v>
      </c>
      <c r="B77" t="str">
        <f t="shared" si="2"/>
        <v>Tue</v>
      </c>
    </row>
    <row r="78" spans="1:2" x14ac:dyDescent="0.25">
      <c r="A78" s="13">
        <f t="shared" si="3"/>
        <v>41290</v>
      </c>
      <c r="B78" t="str">
        <f t="shared" si="2"/>
        <v>Wed</v>
      </c>
    </row>
    <row r="79" spans="1:2" x14ac:dyDescent="0.25">
      <c r="A79" s="13">
        <f t="shared" si="3"/>
        <v>41291</v>
      </c>
      <c r="B79" t="str">
        <f t="shared" si="2"/>
        <v>Thu</v>
      </c>
    </row>
    <row r="80" spans="1:2" x14ac:dyDescent="0.25">
      <c r="A80" s="13">
        <f t="shared" si="3"/>
        <v>41292</v>
      </c>
      <c r="B80" t="str">
        <f t="shared" si="2"/>
        <v>Fri</v>
      </c>
    </row>
    <row r="81" spans="1:2" x14ac:dyDescent="0.25">
      <c r="A81" s="13">
        <f t="shared" si="3"/>
        <v>41293</v>
      </c>
      <c r="B81" t="str">
        <f t="shared" si="2"/>
        <v>Sat</v>
      </c>
    </row>
    <row r="82" spans="1:2" x14ac:dyDescent="0.25">
      <c r="A82" s="13">
        <f t="shared" si="3"/>
        <v>41294</v>
      </c>
      <c r="B82" t="str">
        <f t="shared" si="2"/>
        <v>Sun</v>
      </c>
    </row>
    <row r="83" spans="1:2" x14ac:dyDescent="0.25">
      <c r="A83" s="13">
        <f t="shared" si="3"/>
        <v>41295</v>
      </c>
      <c r="B83" t="str">
        <f t="shared" si="2"/>
        <v>Mon</v>
      </c>
    </row>
    <row r="84" spans="1:2" x14ac:dyDescent="0.25">
      <c r="A84" s="13">
        <f t="shared" si="3"/>
        <v>41296</v>
      </c>
      <c r="B84" t="str">
        <f t="shared" si="2"/>
        <v>Tue</v>
      </c>
    </row>
    <row r="85" spans="1:2" x14ac:dyDescent="0.25">
      <c r="A85" s="13">
        <f t="shared" si="3"/>
        <v>41297</v>
      </c>
      <c r="B85" t="str">
        <f t="shared" si="2"/>
        <v>Wed</v>
      </c>
    </row>
    <row r="86" spans="1:2" x14ac:dyDescent="0.25">
      <c r="A86" s="13">
        <f t="shared" si="3"/>
        <v>41298</v>
      </c>
      <c r="B86" t="str">
        <f t="shared" si="2"/>
        <v>Thu</v>
      </c>
    </row>
    <row r="87" spans="1:2" x14ac:dyDescent="0.25">
      <c r="A87" s="13">
        <f t="shared" si="3"/>
        <v>41299</v>
      </c>
      <c r="B87" t="str">
        <f t="shared" si="2"/>
        <v>Fri</v>
      </c>
    </row>
    <row r="88" spans="1:2" x14ac:dyDescent="0.25">
      <c r="A88" s="13">
        <f t="shared" si="3"/>
        <v>41300</v>
      </c>
      <c r="B88" t="str">
        <f t="shared" si="2"/>
        <v>Sat</v>
      </c>
    </row>
    <row r="89" spans="1:2" x14ac:dyDescent="0.25">
      <c r="A89" s="13">
        <f t="shared" si="3"/>
        <v>41301</v>
      </c>
      <c r="B89" t="str">
        <f t="shared" si="2"/>
        <v>Sun</v>
      </c>
    </row>
    <row r="90" spans="1:2" x14ac:dyDescent="0.25">
      <c r="A90" s="13">
        <f t="shared" si="3"/>
        <v>41302</v>
      </c>
      <c r="B90" t="str">
        <f t="shared" si="2"/>
        <v>Mon</v>
      </c>
    </row>
    <row r="91" spans="1:2" x14ac:dyDescent="0.25">
      <c r="A91" s="13">
        <f t="shared" si="3"/>
        <v>41303</v>
      </c>
      <c r="B91" t="str">
        <f t="shared" si="2"/>
        <v>Tue</v>
      </c>
    </row>
    <row r="92" spans="1:2" x14ac:dyDescent="0.25">
      <c r="A92" s="13">
        <f t="shared" si="3"/>
        <v>41304</v>
      </c>
      <c r="B92" t="str">
        <f t="shared" si="2"/>
        <v>Wed</v>
      </c>
    </row>
    <row r="93" spans="1:2" x14ac:dyDescent="0.25">
      <c r="A93" s="13">
        <f t="shared" si="3"/>
        <v>41305</v>
      </c>
      <c r="B93" t="str">
        <f t="shared" si="2"/>
        <v>Thu</v>
      </c>
    </row>
  </sheetData>
  <conditionalFormatting sqref="A2:A55 A63:A93">
    <cfRule type="expression" dxfId="13" priority="4" stopIfTrue="1">
      <formula>AND((TODAY()-$A2)&gt;=0,(TODAY()-$A2)&lt;=6)</formula>
    </cfRule>
    <cfRule type="expression" dxfId="12" priority="5" stopIfTrue="1">
      <formula>$A2=TODAY()</formula>
    </cfRule>
  </conditionalFormatting>
  <conditionalFormatting sqref="A2:A93">
    <cfRule type="expression" dxfId="11" priority="2">
      <formula>WEEKDAY($A2,2)&gt;5</formula>
    </cfRule>
  </conditionalFormatting>
  <conditionalFormatting sqref="B2:B93">
    <cfRule type="expression" dxfId="10" priority="1">
      <formula>WEEKDAY($A2,2)&gt;6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12"/>
  <sheetViews>
    <sheetView workbookViewId="0">
      <selection activeCell="A10" sqref="A10"/>
    </sheetView>
  </sheetViews>
  <sheetFormatPr defaultRowHeight="15" x14ac:dyDescent="0.25"/>
  <cols>
    <col min="1" max="3" width="9.140625" style="1"/>
  </cols>
  <sheetData>
    <row r="1" spans="1:3" x14ac:dyDescent="0.25">
      <c r="A1" s="1" t="s">
        <v>81</v>
      </c>
      <c r="B1" s="1" t="s">
        <v>82</v>
      </c>
      <c r="C1" s="1" t="s">
        <v>83</v>
      </c>
    </row>
    <row r="2" spans="1:3" x14ac:dyDescent="0.25">
      <c r="A2" s="1" t="s">
        <v>84</v>
      </c>
      <c r="B2" s="1">
        <v>0</v>
      </c>
    </row>
    <row r="3" spans="1:3" x14ac:dyDescent="0.25">
      <c r="A3" s="1" t="s">
        <v>86</v>
      </c>
      <c r="B3" s="1">
        <v>1</v>
      </c>
      <c r="C3" s="1">
        <v>100</v>
      </c>
    </row>
    <row r="12" spans="1:3" x14ac:dyDescent="0.25">
      <c r="A12" s="1" t="s">
        <v>85</v>
      </c>
      <c r="B12" s="1">
        <v>0</v>
      </c>
      <c r="C12" s="1">
        <v>1</v>
      </c>
    </row>
  </sheetData>
  <conditionalFormatting sqref="A2:C140">
    <cfRule type="expression" dxfId="9" priority="1">
      <formula>AND($A2="Done",$B2=0,$C2=100%,$B2&lt;&gt;"")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E6:N15"/>
  <sheetViews>
    <sheetView workbookViewId="0">
      <selection activeCell="N10" sqref="N10"/>
    </sheetView>
  </sheetViews>
  <sheetFormatPr defaultRowHeight="15" x14ac:dyDescent="0.25"/>
  <cols>
    <col min="5" max="5" width="13.28515625" bestFit="1" customWidth="1"/>
    <col min="7" max="7" width="9.85546875" bestFit="1" customWidth="1"/>
  </cols>
  <sheetData>
    <row r="6" spans="5:14" x14ac:dyDescent="0.25">
      <c r="E6" s="28" t="s">
        <v>29</v>
      </c>
      <c r="F6" s="28" t="s">
        <v>30</v>
      </c>
      <c r="G6" t="s">
        <v>87</v>
      </c>
      <c r="H6" t="s">
        <v>88</v>
      </c>
    </row>
    <row r="7" spans="5:14" x14ac:dyDescent="0.25">
      <c r="E7" s="1" t="s">
        <v>31</v>
      </c>
      <c r="F7" s="1">
        <v>25</v>
      </c>
      <c r="G7" t="b">
        <f>$F7=MAX($F$7:$F$11)</f>
        <v>0</v>
      </c>
      <c r="H7" t="b">
        <f>$F7=MIN($F$7:$F$11)</f>
        <v>0</v>
      </c>
    </row>
    <row r="8" spans="5:14" x14ac:dyDescent="0.25">
      <c r="E8" s="1" t="s">
        <v>32</v>
      </c>
      <c r="F8" s="1">
        <v>12</v>
      </c>
      <c r="G8" t="b">
        <f t="shared" ref="G8:G11" si="0">$F8=MAX($F$7:$F$11)</f>
        <v>0</v>
      </c>
      <c r="H8" t="b">
        <f t="shared" ref="H8:H11" si="1">$F8=MIN($F$7:$F$11)</f>
        <v>1</v>
      </c>
      <c r="L8">
        <v>45</v>
      </c>
    </row>
    <row r="9" spans="5:14" x14ac:dyDescent="0.25">
      <c r="E9" s="1" t="s">
        <v>33</v>
      </c>
      <c r="F9" s="1">
        <v>38</v>
      </c>
      <c r="G9" t="b">
        <f t="shared" si="0"/>
        <v>0</v>
      </c>
      <c r="H9" t="b">
        <f t="shared" si="1"/>
        <v>0</v>
      </c>
      <c r="L9">
        <v>13</v>
      </c>
    </row>
    <row r="10" spans="5:14" x14ac:dyDescent="0.25">
      <c r="E10" s="1" t="s">
        <v>34</v>
      </c>
      <c r="F10" s="1">
        <v>95</v>
      </c>
      <c r="G10" t="b">
        <f t="shared" si="0"/>
        <v>1</v>
      </c>
      <c r="H10" t="b">
        <f t="shared" si="1"/>
        <v>0</v>
      </c>
      <c r="L10">
        <v>32</v>
      </c>
      <c r="N10">
        <f t="array" ref="N10:N12">LARGE($L$8:$L$15,{1;2;3})</f>
        <v>8948</v>
      </c>
    </row>
    <row r="11" spans="5:14" x14ac:dyDescent="0.25">
      <c r="E11" s="1" t="s">
        <v>35</v>
      </c>
      <c r="F11" s="1">
        <v>80</v>
      </c>
      <c r="G11" t="b">
        <f t="shared" si="0"/>
        <v>0</v>
      </c>
      <c r="H11" t="b">
        <f t="shared" si="1"/>
        <v>0</v>
      </c>
      <c r="L11">
        <v>65</v>
      </c>
      <c r="N11">
        <v>165</v>
      </c>
    </row>
    <row r="12" spans="5:14" x14ac:dyDescent="0.25">
      <c r="L12">
        <v>8</v>
      </c>
      <c r="N12">
        <v>89</v>
      </c>
    </row>
    <row r="13" spans="5:14" x14ac:dyDescent="0.25">
      <c r="L13">
        <v>89</v>
      </c>
    </row>
    <row r="14" spans="5:14" x14ac:dyDescent="0.25">
      <c r="L14">
        <v>8948</v>
      </c>
    </row>
    <row r="15" spans="5:14" x14ac:dyDescent="0.25">
      <c r="L15">
        <v>165</v>
      </c>
    </row>
  </sheetData>
  <conditionalFormatting sqref="E7:E11">
    <cfRule type="expression" dxfId="8" priority="1">
      <formula>$F7=MIN($F$7:$F$11)</formula>
    </cfRule>
    <cfRule type="expression" dxfId="7" priority="2">
      <formula>$F7=MAX($F$7:$F$11)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K26"/>
  <sheetViews>
    <sheetView workbookViewId="0">
      <selection activeCell="D13" sqref="D13"/>
    </sheetView>
  </sheetViews>
  <sheetFormatPr defaultRowHeight="15" x14ac:dyDescent="0.25"/>
  <sheetData>
    <row r="1" spans="1:11" x14ac:dyDescent="0.25">
      <c r="A1" s="1">
        <f>MOD(ROW(),2)</f>
        <v>1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1">
        <f t="shared" ref="A2:A26" si="0">MOD(ROW(),2)</f>
        <v>0</v>
      </c>
      <c r="B2" s="1"/>
      <c r="C2" s="1"/>
      <c r="D2" s="1"/>
      <c r="E2" s="1"/>
      <c r="F2" s="1"/>
      <c r="G2" s="1"/>
      <c r="H2" s="1"/>
      <c r="I2" s="1"/>
      <c r="J2" s="1"/>
      <c r="K2" s="1"/>
    </row>
    <row r="3" spans="1:11" x14ac:dyDescent="0.25">
      <c r="A3" s="1">
        <f t="shared" si="0"/>
        <v>1</v>
      </c>
      <c r="B3" s="1"/>
      <c r="C3" s="1"/>
      <c r="D3" s="1"/>
      <c r="E3" s="1"/>
      <c r="F3" s="1"/>
      <c r="G3" s="1"/>
      <c r="H3" s="1"/>
      <c r="I3" s="1"/>
      <c r="J3" s="1"/>
      <c r="K3" s="1"/>
    </row>
    <row r="4" spans="1:11" x14ac:dyDescent="0.25">
      <c r="A4" s="1">
        <f t="shared" si="0"/>
        <v>0</v>
      </c>
      <c r="B4" s="1"/>
      <c r="C4" s="1"/>
      <c r="D4" s="1"/>
      <c r="E4" s="1"/>
      <c r="F4" s="1"/>
      <c r="G4" s="1"/>
      <c r="H4" s="1"/>
      <c r="I4" s="1"/>
      <c r="J4" s="1"/>
      <c r="K4" s="1"/>
    </row>
    <row r="5" spans="1:11" x14ac:dyDescent="0.25">
      <c r="A5" s="1">
        <f t="shared" si="0"/>
        <v>1</v>
      </c>
      <c r="B5" s="1"/>
      <c r="C5" s="1"/>
      <c r="D5" s="1"/>
      <c r="E5" s="1"/>
      <c r="F5" s="1"/>
      <c r="G5" s="1"/>
      <c r="H5" s="1"/>
      <c r="I5" s="1"/>
      <c r="J5" s="1"/>
      <c r="K5" s="1"/>
    </row>
    <row r="6" spans="1:11" x14ac:dyDescent="0.25">
      <c r="A6" s="1">
        <f t="shared" si="0"/>
        <v>0</v>
      </c>
      <c r="B6" s="1"/>
      <c r="C6" s="1"/>
      <c r="D6" s="1"/>
      <c r="E6" s="1"/>
      <c r="F6" s="1"/>
      <c r="G6" s="1"/>
      <c r="H6" s="1"/>
      <c r="I6" s="1"/>
      <c r="J6" s="1"/>
      <c r="K6" s="1"/>
    </row>
    <row r="7" spans="1:11" x14ac:dyDescent="0.25">
      <c r="A7" s="1">
        <f t="shared" si="0"/>
        <v>1</v>
      </c>
      <c r="B7" s="1"/>
      <c r="C7" s="1"/>
      <c r="D7" s="1"/>
      <c r="E7" s="1"/>
      <c r="F7" s="1"/>
      <c r="G7" s="1"/>
      <c r="H7" s="1"/>
      <c r="I7" s="1"/>
      <c r="J7" s="1"/>
      <c r="K7" s="1"/>
    </row>
    <row r="8" spans="1:11" x14ac:dyDescent="0.25">
      <c r="A8" s="1">
        <f t="shared" si="0"/>
        <v>0</v>
      </c>
      <c r="B8" s="1"/>
      <c r="C8" s="1"/>
      <c r="D8" s="1"/>
      <c r="E8" s="1"/>
      <c r="F8" s="1"/>
      <c r="G8" s="1"/>
      <c r="H8" s="1"/>
      <c r="I8" s="1"/>
      <c r="J8" s="1"/>
      <c r="K8" s="1"/>
    </row>
    <row r="9" spans="1:11" x14ac:dyDescent="0.25">
      <c r="A9" s="1">
        <f t="shared" si="0"/>
        <v>1</v>
      </c>
      <c r="B9" s="1"/>
      <c r="C9" s="1"/>
      <c r="D9" s="1"/>
      <c r="E9" s="1"/>
      <c r="F9" s="1"/>
      <c r="G9" s="1"/>
      <c r="H9" s="1"/>
      <c r="I9" s="1"/>
      <c r="J9" s="1"/>
      <c r="K9" s="1"/>
    </row>
    <row r="10" spans="1:11" x14ac:dyDescent="0.25">
      <c r="A10" s="1">
        <f t="shared" si="0"/>
        <v>0</v>
      </c>
      <c r="B10" s="1"/>
      <c r="C10" s="1"/>
      <c r="D10" s="1"/>
      <c r="E10" s="1"/>
      <c r="F10" s="1"/>
      <c r="G10" s="1"/>
      <c r="H10" s="1"/>
      <c r="I10" s="1"/>
      <c r="J10" s="1"/>
      <c r="K10" s="1"/>
    </row>
    <row r="11" spans="1:11" x14ac:dyDescent="0.25">
      <c r="A11" s="1">
        <f t="shared" si="0"/>
        <v>1</v>
      </c>
      <c r="B11" s="1"/>
      <c r="C11" s="1"/>
      <c r="D11" s="1"/>
      <c r="E11" s="1"/>
      <c r="F11" s="1"/>
      <c r="G11" s="1"/>
      <c r="H11" s="1"/>
      <c r="I11" s="1"/>
      <c r="J11" s="1"/>
      <c r="K11" s="1"/>
    </row>
    <row r="12" spans="1:11" x14ac:dyDescent="0.25">
      <c r="A12" s="1">
        <f t="shared" si="0"/>
        <v>0</v>
      </c>
      <c r="B12" s="1"/>
      <c r="C12" s="1"/>
      <c r="D12" s="1"/>
      <c r="E12" s="1"/>
      <c r="F12" s="1"/>
      <c r="G12" s="1"/>
      <c r="H12" s="1"/>
      <c r="I12" s="1"/>
      <c r="J12" s="1"/>
      <c r="K12" s="1"/>
    </row>
    <row r="13" spans="1:11" x14ac:dyDescent="0.25">
      <c r="A13" s="1">
        <f t="shared" si="0"/>
        <v>1</v>
      </c>
      <c r="B13" s="1"/>
      <c r="C13" s="1"/>
      <c r="D13" s="1"/>
      <c r="E13" s="1"/>
      <c r="F13" s="1"/>
      <c r="G13" s="1"/>
      <c r="H13" s="1"/>
      <c r="I13" s="1"/>
      <c r="J13" s="1"/>
      <c r="K13" s="1"/>
    </row>
    <row r="14" spans="1:11" x14ac:dyDescent="0.25">
      <c r="A14" s="1">
        <f t="shared" si="0"/>
        <v>0</v>
      </c>
      <c r="B14" s="1"/>
      <c r="C14" s="1"/>
      <c r="D14" s="1"/>
      <c r="E14" s="1"/>
      <c r="F14" s="1"/>
      <c r="G14" s="1"/>
      <c r="H14" s="1"/>
      <c r="I14" s="1"/>
      <c r="J14" s="1"/>
      <c r="K14" s="1"/>
    </row>
    <row r="15" spans="1:11" x14ac:dyDescent="0.25">
      <c r="A15" s="1">
        <f t="shared" si="0"/>
        <v>1</v>
      </c>
      <c r="B15" s="1"/>
      <c r="C15" s="1"/>
      <c r="D15" s="1"/>
      <c r="E15" s="1"/>
      <c r="F15" s="1"/>
      <c r="G15" s="1"/>
      <c r="H15" s="1"/>
      <c r="I15" s="1"/>
      <c r="J15" s="1"/>
      <c r="K15" s="1"/>
    </row>
    <row r="16" spans="1:11" x14ac:dyDescent="0.25">
      <c r="A16" s="1">
        <f t="shared" si="0"/>
        <v>0</v>
      </c>
      <c r="B16" s="1"/>
      <c r="C16" s="1"/>
      <c r="D16" s="1"/>
      <c r="E16" s="1"/>
      <c r="F16" s="1"/>
      <c r="G16" s="1"/>
      <c r="H16" s="1"/>
      <c r="I16" s="1"/>
      <c r="J16" s="1"/>
      <c r="K16" s="1"/>
    </row>
    <row r="17" spans="1:11" x14ac:dyDescent="0.25">
      <c r="A17" s="1">
        <f t="shared" si="0"/>
        <v>1</v>
      </c>
      <c r="B17" s="1"/>
      <c r="C17" s="1"/>
      <c r="D17" s="1"/>
      <c r="E17" s="1"/>
      <c r="F17" s="1"/>
      <c r="G17" s="1"/>
      <c r="H17" s="1"/>
      <c r="I17" s="1"/>
      <c r="J17" s="1"/>
      <c r="K17" s="1"/>
    </row>
    <row r="18" spans="1:11" x14ac:dyDescent="0.25">
      <c r="A18" s="1">
        <f t="shared" si="0"/>
        <v>0</v>
      </c>
      <c r="B18" s="1"/>
      <c r="C18" s="1"/>
      <c r="D18" s="1"/>
      <c r="E18" s="1"/>
      <c r="F18" s="1"/>
      <c r="G18" s="1"/>
      <c r="H18" s="1"/>
      <c r="I18" s="1"/>
      <c r="J18" s="1"/>
      <c r="K18" s="1"/>
    </row>
    <row r="19" spans="1:11" x14ac:dyDescent="0.25">
      <c r="A19" s="1">
        <f t="shared" si="0"/>
        <v>1</v>
      </c>
      <c r="B19" s="1"/>
      <c r="C19" s="1"/>
      <c r="D19" s="1"/>
      <c r="E19" s="1"/>
      <c r="F19" s="1"/>
      <c r="G19" s="1"/>
      <c r="H19" s="1"/>
      <c r="I19" s="1"/>
      <c r="J19" s="1"/>
      <c r="K19" s="1"/>
    </row>
    <row r="20" spans="1:11" x14ac:dyDescent="0.25">
      <c r="A20" s="1">
        <f t="shared" si="0"/>
        <v>0</v>
      </c>
      <c r="B20" s="1"/>
      <c r="C20" s="1"/>
      <c r="D20" s="1"/>
      <c r="E20" s="1"/>
      <c r="F20" s="1"/>
      <c r="G20" s="1"/>
      <c r="H20" s="1"/>
      <c r="I20" s="1"/>
      <c r="J20" s="1"/>
      <c r="K20" s="1"/>
    </row>
    <row r="21" spans="1:11" x14ac:dyDescent="0.25">
      <c r="A21" s="1">
        <f t="shared" si="0"/>
        <v>1</v>
      </c>
      <c r="B21" s="1"/>
      <c r="C21" s="1"/>
      <c r="D21" s="1"/>
      <c r="E21" s="1"/>
      <c r="F21" s="1"/>
      <c r="G21" s="1"/>
      <c r="H21" s="1"/>
      <c r="I21" s="1"/>
      <c r="J21" s="1"/>
      <c r="K21" s="1"/>
    </row>
    <row r="22" spans="1:11" x14ac:dyDescent="0.25">
      <c r="A22" s="1">
        <f t="shared" si="0"/>
        <v>0</v>
      </c>
      <c r="B22" s="1"/>
      <c r="C22" s="1"/>
      <c r="D22" s="1"/>
      <c r="E22" s="1"/>
      <c r="F22" s="1"/>
      <c r="G22" s="1"/>
      <c r="H22" s="1"/>
      <c r="I22" s="1"/>
      <c r="J22" s="1"/>
      <c r="K22" s="1"/>
    </row>
    <row r="23" spans="1:11" x14ac:dyDescent="0.25">
      <c r="A23" s="1">
        <f t="shared" si="0"/>
        <v>1</v>
      </c>
      <c r="B23" s="1"/>
      <c r="C23" s="1"/>
      <c r="D23" s="1"/>
      <c r="E23" s="1"/>
      <c r="F23" s="1"/>
      <c r="G23" s="1"/>
      <c r="H23" s="1"/>
      <c r="I23" s="1"/>
      <c r="J23" s="1"/>
      <c r="K23" s="1"/>
    </row>
    <row r="24" spans="1:11" x14ac:dyDescent="0.25">
      <c r="A24" s="1">
        <f t="shared" si="0"/>
        <v>0</v>
      </c>
      <c r="B24" s="1"/>
      <c r="C24" s="1"/>
      <c r="D24" s="1"/>
      <c r="E24" s="1"/>
      <c r="F24" s="1"/>
      <c r="G24" s="1"/>
      <c r="H24" s="1"/>
      <c r="I24" s="1"/>
      <c r="J24" s="1"/>
      <c r="K24" s="1"/>
    </row>
    <row r="25" spans="1:11" x14ac:dyDescent="0.25">
      <c r="A25" s="1">
        <f t="shared" si="0"/>
        <v>1</v>
      </c>
      <c r="B25" s="1"/>
      <c r="C25" s="1"/>
      <c r="D25" s="1"/>
      <c r="E25" s="1"/>
      <c r="F25" s="1"/>
      <c r="G25" s="1"/>
      <c r="H25" s="1"/>
      <c r="I25" s="1"/>
      <c r="J25" s="1"/>
      <c r="K25" s="1"/>
    </row>
    <row r="26" spans="1:11" x14ac:dyDescent="0.25">
      <c r="A26" s="1">
        <f t="shared" si="0"/>
        <v>0</v>
      </c>
      <c r="B26" s="1"/>
      <c r="C26" s="1"/>
      <c r="D26" s="1"/>
      <c r="E26" s="1"/>
      <c r="F26" s="1"/>
      <c r="G26" s="1"/>
      <c r="H26" s="1"/>
      <c r="I26" s="1"/>
      <c r="J26" s="1"/>
      <c r="K26" s="1"/>
    </row>
  </sheetData>
  <conditionalFormatting sqref="B1:K26">
    <cfRule type="expression" dxfId="6" priority="1">
      <formula>MOD(COLUMN(),2)</formula>
    </cfRule>
    <cfRule type="expression" dxfId="5" priority="2">
      <formula>MOD(ROW(),2)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J7"/>
  <sheetViews>
    <sheetView workbookViewId="0">
      <selection activeCell="I5" sqref="I5"/>
    </sheetView>
  </sheetViews>
  <sheetFormatPr defaultRowHeight="15" x14ac:dyDescent="0.25"/>
  <cols>
    <col min="1" max="1" width="11" bestFit="1" customWidth="1"/>
  </cols>
  <sheetData>
    <row r="1" spans="1:10" x14ac:dyDescent="0.25">
      <c r="A1" s="29" t="s">
        <v>89</v>
      </c>
      <c r="B1" s="1" t="s">
        <v>90</v>
      </c>
      <c r="C1" s="1" t="s">
        <v>91</v>
      </c>
      <c r="D1" s="1" t="s">
        <v>92</v>
      </c>
      <c r="E1" s="1" t="s">
        <v>93</v>
      </c>
      <c r="F1" s="1" t="s">
        <v>94</v>
      </c>
    </row>
    <row r="2" spans="1:10" x14ac:dyDescent="0.25">
      <c r="A2" s="1" t="s">
        <v>95</v>
      </c>
      <c r="B2" s="30">
        <v>37</v>
      </c>
      <c r="C2" s="30">
        <v>25</v>
      </c>
      <c r="D2" s="30">
        <v>44</v>
      </c>
      <c r="E2" s="30">
        <v>87</v>
      </c>
      <c r="F2" s="30">
        <v>18</v>
      </c>
      <c r="I2" t="b">
        <f>B2=MAX($B$2:$B$7)</f>
        <v>0</v>
      </c>
    </row>
    <row r="3" spans="1:10" x14ac:dyDescent="0.25">
      <c r="A3" s="1" t="s">
        <v>96</v>
      </c>
      <c r="B3" s="30">
        <v>11</v>
      </c>
      <c r="C3" s="30">
        <v>85</v>
      </c>
      <c r="D3" s="30">
        <v>49</v>
      </c>
      <c r="E3" s="30">
        <v>95</v>
      </c>
      <c r="F3" s="30">
        <v>24</v>
      </c>
      <c r="I3" t="b">
        <f t="shared" ref="I3:I7" si="0">B3=MAX($B$2:$B$7)</f>
        <v>0</v>
      </c>
    </row>
    <row r="4" spans="1:10" x14ac:dyDescent="0.25">
      <c r="A4" s="1" t="s">
        <v>97</v>
      </c>
      <c r="B4" s="30">
        <v>58</v>
      </c>
      <c r="C4" s="30">
        <v>39</v>
      </c>
      <c r="D4" s="30">
        <v>46</v>
      </c>
      <c r="E4" s="30">
        <v>41</v>
      </c>
      <c r="F4" s="30">
        <v>80</v>
      </c>
      <c r="I4" t="b">
        <f t="shared" si="0"/>
        <v>0</v>
      </c>
      <c r="J4" t="s">
        <v>101</v>
      </c>
    </row>
    <row r="5" spans="1:10" x14ac:dyDescent="0.25">
      <c r="A5" s="1" t="s">
        <v>98</v>
      </c>
      <c r="B5" s="30">
        <v>53</v>
      </c>
      <c r="C5" s="30">
        <v>14</v>
      </c>
      <c r="D5" s="30">
        <v>89</v>
      </c>
      <c r="E5" s="30">
        <v>24</v>
      </c>
      <c r="F5" s="30">
        <v>37</v>
      </c>
      <c r="I5" t="b">
        <f t="shared" si="0"/>
        <v>0</v>
      </c>
    </row>
    <row r="6" spans="1:10" x14ac:dyDescent="0.25">
      <c r="A6" s="1" t="s">
        <v>99</v>
      </c>
      <c r="B6" s="30">
        <v>78</v>
      </c>
      <c r="C6" s="30">
        <v>22</v>
      </c>
      <c r="D6" s="30">
        <v>80</v>
      </c>
      <c r="E6" s="30">
        <v>36</v>
      </c>
      <c r="F6" s="30">
        <v>85</v>
      </c>
      <c r="I6" t="b">
        <f t="shared" si="0"/>
        <v>1</v>
      </c>
    </row>
    <row r="7" spans="1:10" x14ac:dyDescent="0.25">
      <c r="A7" s="1" t="s">
        <v>100</v>
      </c>
      <c r="B7" s="30">
        <v>20</v>
      </c>
      <c r="C7" s="30">
        <v>72</v>
      </c>
      <c r="D7" s="30">
        <v>58</v>
      </c>
      <c r="E7" s="30">
        <v>21</v>
      </c>
      <c r="F7" s="30">
        <v>20</v>
      </c>
      <c r="I7" t="b">
        <f t="shared" si="0"/>
        <v>0</v>
      </c>
    </row>
  </sheetData>
  <conditionalFormatting sqref="B2:F7">
    <cfRule type="expression" dxfId="4" priority="1" stopIfTrue="1">
      <formula>B2=MIN(B$2:B$7)</formula>
    </cfRule>
    <cfRule type="expression" dxfId="3" priority="2" stopIfTrue="1">
      <formula>B2=MAX(B$2:B$7)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5"/>
  <sheetViews>
    <sheetView workbookViewId="0">
      <selection activeCell="E11" sqref="E11"/>
    </sheetView>
  </sheetViews>
  <sheetFormatPr defaultRowHeight="15" x14ac:dyDescent="0.25"/>
  <cols>
    <col min="3" max="3" width="15.140625" bestFit="1" customWidth="1"/>
  </cols>
  <sheetData>
    <row r="1" spans="1:8" x14ac:dyDescent="0.25">
      <c r="A1" t="s">
        <v>102</v>
      </c>
      <c r="B1" t="s">
        <v>103</v>
      </c>
      <c r="C1" t="s">
        <v>104</v>
      </c>
      <c r="D1" t="s">
        <v>105</v>
      </c>
      <c r="E1" t="s">
        <v>106</v>
      </c>
      <c r="F1" t="s">
        <v>107</v>
      </c>
    </row>
    <row r="2" spans="1:8" x14ac:dyDescent="0.25">
      <c r="A2" t="s">
        <v>108</v>
      </c>
      <c r="B2">
        <v>40165482</v>
      </c>
      <c r="C2">
        <v>9858565851</v>
      </c>
      <c r="D2" t="s">
        <v>109</v>
      </c>
      <c r="E2" t="s">
        <v>107</v>
      </c>
      <c r="F2">
        <v>0</v>
      </c>
      <c r="H2" t="b">
        <f ca="1">INDIRECT("f"&amp;ROW())&lt;1</f>
        <v>1</v>
      </c>
    </row>
    <row r="3" spans="1:8" x14ac:dyDescent="0.25">
      <c r="A3" t="s">
        <v>108</v>
      </c>
      <c r="B3">
        <v>40165481</v>
      </c>
      <c r="C3">
        <v>9858565852</v>
      </c>
      <c r="D3" t="s">
        <v>109</v>
      </c>
      <c r="E3" t="s">
        <v>107</v>
      </c>
      <c r="F3">
        <v>1</v>
      </c>
      <c r="H3" t="b">
        <f ca="1">INDIRECT("f"&amp;ROW())&lt;1</f>
        <v>0</v>
      </c>
    </row>
    <row r="4" spans="1:8" x14ac:dyDescent="0.25">
      <c r="A4" t="s">
        <v>108</v>
      </c>
      <c r="B4">
        <v>40165483</v>
      </c>
      <c r="C4">
        <v>9858565853</v>
      </c>
      <c r="D4" t="s">
        <v>109</v>
      </c>
      <c r="E4" t="s">
        <v>107</v>
      </c>
      <c r="F4">
        <v>0</v>
      </c>
      <c r="H4" t="b">
        <f ca="1">INDIRECT("f"&amp;ROW())&lt;1</f>
        <v>1</v>
      </c>
    </row>
    <row r="5" spans="1:8" x14ac:dyDescent="0.25">
      <c r="A5" t="s">
        <v>108</v>
      </c>
      <c r="B5">
        <v>40165485</v>
      </c>
      <c r="C5">
        <v>9858565854</v>
      </c>
      <c r="D5" t="s">
        <v>109</v>
      </c>
      <c r="E5" t="s">
        <v>107</v>
      </c>
      <c r="F5">
        <v>1</v>
      </c>
      <c r="H5" t="b">
        <f ca="1">INDIRECT("f"&amp;ROW())&lt;1</f>
        <v>0</v>
      </c>
    </row>
  </sheetData>
  <conditionalFormatting sqref="A2:F5">
    <cfRule type="expression" dxfId="2" priority="1">
      <formula>INDIRECT("f"&amp;ROW())&lt;1</formula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E10"/>
  <sheetViews>
    <sheetView tabSelected="1" workbookViewId="0">
      <selection activeCell="E4" sqref="E4"/>
    </sheetView>
  </sheetViews>
  <sheetFormatPr defaultRowHeight="15" x14ac:dyDescent="0.25"/>
  <sheetData>
    <row r="1" spans="1:5" x14ac:dyDescent="0.25">
      <c r="A1">
        <v>5</v>
      </c>
      <c r="B1">
        <v>5</v>
      </c>
    </row>
    <row r="2" spans="1:5" x14ac:dyDescent="0.25">
      <c r="A2">
        <v>3</v>
      </c>
      <c r="B2" t="s">
        <v>111</v>
      </c>
      <c r="E2" s="43" t="s">
        <v>118</v>
      </c>
    </row>
    <row r="3" spans="1:5" x14ac:dyDescent="0.25">
      <c r="A3">
        <v>4</v>
      </c>
      <c r="B3">
        <v>4</v>
      </c>
    </row>
    <row r="4" spans="1:5" x14ac:dyDescent="0.25">
      <c r="A4" t="s">
        <v>112</v>
      </c>
      <c r="B4">
        <v>6</v>
      </c>
    </row>
    <row r="5" spans="1:5" x14ac:dyDescent="0.25">
      <c r="A5">
        <v>5</v>
      </c>
      <c r="B5">
        <v>5</v>
      </c>
    </row>
    <row r="6" spans="1:5" x14ac:dyDescent="0.25">
      <c r="A6" t="s">
        <v>113</v>
      </c>
      <c r="B6">
        <v>13</v>
      </c>
    </row>
    <row r="7" spans="1:5" x14ac:dyDescent="0.25">
      <c r="A7" t="s">
        <v>114</v>
      </c>
      <c r="B7">
        <v>21</v>
      </c>
    </row>
    <row r="8" spans="1:5" x14ac:dyDescent="0.25">
      <c r="A8">
        <v>6</v>
      </c>
      <c r="B8">
        <v>6</v>
      </c>
    </row>
    <row r="9" spans="1:5" x14ac:dyDescent="0.25">
      <c r="A9">
        <v>9</v>
      </c>
      <c r="B9" t="s">
        <v>115</v>
      </c>
    </row>
    <row r="10" spans="1:5" x14ac:dyDescent="0.25">
      <c r="A10">
        <v>8</v>
      </c>
      <c r="B10">
        <v>8</v>
      </c>
    </row>
  </sheetData>
  <conditionalFormatting sqref="A1:B10">
    <cfRule type="expression" dxfId="1" priority="1">
      <formula>ISTEXT(A1)</formula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18"/>
  <sheetViews>
    <sheetView workbookViewId="0">
      <selection activeCell="D2" sqref="D2"/>
    </sheetView>
  </sheetViews>
  <sheetFormatPr defaultRowHeight="15" x14ac:dyDescent="0.25"/>
  <sheetData>
    <row r="1" spans="1:7" x14ac:dyDescent="0.25">
      <c r="A1">
        <v>994</v>
      </c>
      <c r="B1">
        <v>313</v>
      </c>
      <c r="C1">
        <v>510</v>
      </c>
      <c r="D1">
        <v>583</v>
      </c>
      <c r="G1" s="42" t="s">
        <v>116</v>
      </c>
    </row>
    <row r="2" spans="1:7" x14ac:dyDescent="0.25">
      <c r="A2">
        <v>794</v>
      </c>
      <c r="B2">
        <v>277</v>
      </c>
      <c r="C2">
        <v>926</v>
      </c>
      <c r="D2">
        <v>878</v>
      </c>
      <c r="G2" s="43" t="s">
        <v>117</v>
      </c>
    </row>
    <row r="3" spans="1:7" x14ac:dyDescent="0.25">
      <c r="A3">
        <v>955</v>
      </c>
      <c r="B3">
        <v>553</v>
      </c>
      <c r="C3">
        <v>821</v>
      </c>
      <c r="D3">
        <v>473</v>
      </c>
    </row>
    <row r="4" spans="1:7" x14ac:dyDescent="0.25">
      <c r="A4">
        <v>708</v>
      </c>
      <c r="B4">
        <v>125</v>
      </c>
      <c r="C4">
        <v>357</v>
      </c>
      <c r="D4">
        <v>255</v>
      </c>
    </row>
    <row r="5" spans="1:7" x14ac:dyDescent="0.25">
      <c r="A5">
        <v>597</v>
      </c>
      <c r="B5">
        <v>527</v>
      </c>
      <c r="C5">
        <v>919</v>
      </c>
      <c r="D5">
        <v>784</v>
      </c>
    </row>
    <row r="6" spans="1:7" x14ac:dyDescent="0.25">
      <c r="A6">
        <v>656</v>
      </c>
      <c r="B6">
        <v>220</v>
      </c>
      <c r="C6">
        <v>401</v>
      </c>
      <c r="D6">
        <v>241</v>
      </c>
    </row>
    <row r="7" spans="1:7" x14ac:dyDescent="0.25">
      <c r="A7">
        <v>27</v>
      </c>
      <c r="B7">
        <v>399</v>
      </c>
      <c r="C7">
        <v>796</v>
      </c>
      <c r="D7">
        <v>327</v>
      </c>
    </row>
    <row r="8" spans="1:7" x14ac:dyDescent="0.25">
      <c r="A8">
        <v>50</v>
      </c>
      <c r="B8">
        <v>614</v>
      </c>
      <c r="C8">
        <v>866</v>
      </c>
      <c r="D8">
        <v>954</v>
      </c>
    </row>
    <row r="9" spans="1:7" x14ac:dyDescent="0.25">
      <c r="A9">
        <v>739</v>
      </c>
      <c r="B9">
        <v>972</v>
      </c>
      <c r="C9">
        <v>551</v>
      </c>
      <c r="D9">
        <v>47</v>
      </c>
    </row>
    <row r="10" spans="1:7" x14ac:dyDescent="0.25">
      <c r="A10">
        <v>861</v>
      </c>
      <c r="B10">
        <v>614</v>
      </c>
      <c r="C10">
        <v>712</v>
      </c>
      <c r="D10">
        <v>224</v>
      </c>
    </row>
    <row r="11" spans="1:7" x14ac:dyDescent="0.25">
      <c r="A11">
        <v>162</v>
      </c>
      <c r="B11">
        <v>789</v>
      </c>
      <c r="C11">
        <v>902</v>
      </c>
      <c r="D11">
        <v>807</v>
      </c>
    </row>
    <row r="12" spans="1:7" x14ac:dyDescent="0.25">
      <c r="A12">
        <v>459</v>
      </c>
      <c r="B12">
        <v>118</v>
      </c>
      <c r="C12">
        <v>496</v>
      </c>
      <c r="D12">
        <v>204</v>
      </c>
    </row>
    <row r="13" spans="1:7" x14ac:dyDescent="0.25">
      <c r="A13">
        <v>345</v>
      </c>
      <c r="B13">
        <v>768</v>
      </c>
      <c r="C13">
        <v>361</v>
      </c>
      <c r="D13">
        <v>998</v>
      </c>
    </row>
    <row r="14" spans="1:7" x14ac:dyDescent="0.25">
      <c r="A14">
        <v>327</v>
      </c>
      <c r="B14">
        <v>397</v>
      </c>
      <c r="C14">
        <v>726</v>
      </c>
      <c r="D14">
        <v>369</v>
      </c>
    </row>
    <row r="15" spans="1:7" x14ac:dyDescent="0.25">
      <c r="A15">
        <v>91</v>
      </c>
      <c r="B15">
        <v>283</v>
      </c>
      <c r="C15">
        <v>940</v>
      </c>
      <c r="D15">
        <v>387</v>
      </c>
    </row>
    <row r="16" spans="1:7" x14ac:dyDescent="0.25">
      <c r="A16">
        <v>244</v>
      </c>
      <c r="B16">
        <v>987</v>
      </c>
      <c r="C16">
        <v>104</v>
      </c>
      <c r="D16">
        <v>316</v>
      </c>
    </row>
    <row r="17" spans="1:4" x14ac:dyDescent="0.25">
      <c r="A17">
        <v>377</v>
      </c>
      <c r="B17">
        <v>790</v>
      </c>
      <c r="C17">
        <v>534</v>
      </c>
      <c r="D17">
        <v>729</v>
      </c>
    </row>
    <row r="18" spans="1:4" x14ac:dyDescent="0.25">
      <c r="A18">
        <v>276</v>
      </c>
      <c r="B18">
        <v>82</v>
      </c>
      <c r="C18">
        <v>619</v>
      </c>
      <c r="D18">
        <v>583</v>
      </c>
    </row>
  </sheetData>
  <conditionalFormatting sqref="A1:D18">
    <cfRule type="expression" dxfId="0" priority="1">
      <formula>MOD(ROW(),2)=0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Readymade Conditional Formating</vt:lpstr>
      <vt:lpstr>CF-1</vt:lpstr>
      <vt:lpstr>CF-2</vt:lpstr>
      <vt:lpstr>CF-3</vt:lpstr>
      <vt:lpstr>CF-4</vt:lpstr>
      <vt:lpstr>CF-5</vt:lpstr>
      <vt:lpstr>CF-6</vt:lpstr>
      <vt:lpstr>CF-7</vt:lpstr>
      <vt:lpstr>Sheet8</vt:lpstr>
      <vt:lpstr>Sheet1</vt:lpstr>
      <vt:lpstr>Sheet2</vt:lpstr>
      <vt:lpstr>NonNumeric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Bansal</dc:creator>
  <cp:lastModifiedBy>Sumit</cp:lastModifiedBy>
  <dcterms:created xsi:type="dcterms:W3CDTF">2013-10-07T08:25:14Z</dcterms:created>
  <dcterms:modified xsi:type="dcterms:W3CDTF">2015-12-21T17:59:00Z</dcterms:modified>
</cp:coreProperties>
</file>