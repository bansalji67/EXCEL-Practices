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ThisWorkbook" defaultThemeVersion="124226"/>
  <bookViews>
    <workbookView xWindow="480" yWindow="315" windowWidth="19815" windowHeight="7395" firstSheet="5" activeTab="14"/>
  </bookViews>
  <sheets>
    <sheet name="Summary" sheetId="7" r:id="rId1"/>
    <sheet name="Sheet1" sheetId="1" r:id="rId2"/>
    <sheet name="Sheet2" sheetId="2" r:id="rId3"/>
    <sheet name="Sheet3" sheetId="3" r:id="rId4"/>
    <sheet name="Sumproduct with Text" sheetId="4" r:id="rId5"/>
    <sheet name="Sheet5" sheetId="5" r:id="rId6"/>
    <sheet name="Sheet6" sheetId="6" r:id="rId7"/>
    <sheet name="Sheet4" sheetId="8" r:id="rId8"/>
    <sheet name="Sheet7" sheetId="9" r:id="rId9"/>
    <sheet name="Sheet8" sheetId="10" r:id="rId10"/>
    <sheet name="Sheet9" sheetId="11" r:id="rId11"/>
    <sheet name="Sheet10" sheetId="12" r:id="rId12"/>
    <sheet name="Raw Data" sheetId="13" r:id="rId13"/>
    <sheet name="Sheet12" sheetId="14" r:id="rId14"/>
    <sheet name="Sheet11" sheetId="15" r:id="rId15"/>
  </sheets>
  <calcPr calcId="144525"/>
</workbook>
</file>

<file path=xl/calcChain.xml><?xml version="1.0" encoding="utf-8"?>
<calcChain xmlns="http://schemas.openxmlformats.org/spreadsheetml/2006/main">
  <c r="H2" i="15" l="1" a="1"/>
  <c r="H2" i="15" s="1"/>
  <c r="I2" i="15" a="1"/>
  <c r="I2" i="15" s="1"/>
  <c r="H3" i="15" a="1"/>
  <c r="H3" i="15" s="1"/>
  <c r="I3" i="15" a="1"/>
  <c r="I3" i="15" s="1"/>
  <c r="H4" i="15" a="1"/>
  <c r="H4" i="15" s="1"/>
  <c r="I4" i="15" a="1"/>
  <c r="I4" i="15" s="1"/>
  <c r="H5" i="15" a="1"/>
  <c r="H5" i="15" s="1"/>
  <c r="I5" i="15" a="1"/>
  <c r="I5" i="15" s="1"/>
  <c r="H6" i="15" a="1"/>
  <c r="H6" i="15" s="1"/>
  <c r="I6" i="15" a="1"/>
  <c r="I6" i="15" s="1"/>
  <c r="G3" i="15" a="1"/>
  <c r="G3" i="15" s="1"/>
  <c r="G4" i="15" a="1"/>
  <c r="G4" i="15" s="1"/>
  <c r="G5" i="15" a="1"/>
  <c r="G5" i="15" s="1"/>
  <c r="G6" i="15" a="1"/>
  <c r="G6" i="15" s="1"/>
  <c r="G2" i="15" a="1"/>
  <c r="G2" i="15" s="1"/>
  <c r="D2" i="14"/>
  <c r="E2" i="14"/>
  <c r="D3" i="14"/>
  <c r="E3" i="14"/>
  <c r="D4" i="14"/>
  <c r="E4" i="14"/>
  <c r="D5" i="14"/>
  <c r="E5" i="14"/>
  <c r="D6" i="14"/>
  <c r="E6" i="14"/>
  <c r="D7" i="14"/>
  <c r="E7" i="14"/>
  <c r="D8" i="14"/>
  <c r="E8" i="14"/>
  <c r="C3" i="14"/>
  <c r="C4" i="14"/>
  <c r="C5" i="14"/>
  <c r="C6" i="14"/>
  <c r="C7" i="14"/>
  <c r="C8" i="14"/>
  <c r="C2" i="14"/>
  <c r="G3" i="4"/>
  <c r="D88" i="12"/>
  <c r="F88" i="12"/>
  <c r="D84" i="12"/>
  <c r="E84" i="12"/>
  <c r="E88" i="12" s="1"/>
  <c r="F84" i="12"/>
  <c r="G84" i="12"/>
  <c r="G88" i="12" s="1"/>
  <c r="D85" i="12"/>
  <c r="E85" i="12"/>
  <c r="F85" i="12"/>
  <c r="G85" i="12"/>
  <c r="D86" i="12"/>
  <c r="E86" i="12"/>
  <c r="F86" i="12"/>
  <c r="G86" i="12"/>
  <c r="D87" i="12"/>
  <c r="E87" i="12"/>
  <c r="F87" i="12"/>
  <c r="G87" i="12"/>
  <c r="C85" i="12"/>
  <c r="H85" i="12" s="1"/>
  <c r="C86" i="12"/>
  <c r="H86" i="12" s="1"/>
  <c r="C87" i="12"/>
  <c r="H87" i="12" s="1"/>
  <c r="C84" i="12"/>
  <c r="H84" i="12" s="1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2" i="12"/>
  <c r="J34" i="11"/>
  <c r="R15" i="11"/>
  <c r="F14" i="11"/>
  <c r="G5" i="10"/>
  <c r="G4" i="10"/>
  <c r="G3" i="10"/>
  <c r="G2" i="10"/>
  <c r="O6" i="9"/>
  <c r="K16" i="9"/>
  <c r="K17" i="9"/>
  <c r="K18" i="9"/>
  <c r="K19" i="9"/>
  <c r="K20" i="9"/>
  <c r="K15" i="9"/>
  <c r="J16" i="9"/>
  <c r="J17" i="9"/>
  <c r="J18" i="9"/>
  <c r="J19" i="9"/>
  <c r="J20" i="9"/>
  <c r="J15" i="9"/>
  <c r="H12" i="9"/>
  <c r="K5" i="9"/>
  <c r="K6" i="9"/>
  <c r="K7" i="9"/>
  <c r="K4" i="9"/>
  <c r="K8" i="9" s="1"/>
  <c r="C88" i="12" l="1"/>
  <c r="H88" i="12" s="1"/>
  <c r="A3" i="8"/>
  <c r="A4" i="8" s="1"/>
  <c r="A5" i="8" s="1"/>
  <c r="A6" i="8" s="1"/>
  <c r="A7" i="8" s="1"/>
  <c r="A8" i="8" s="1"/>
  <c r="A9" i="8" s="1"/>
  <c r="A10" i="8" s="1"/>
  <c r="A11" i="8" s="1"/>
  <c r="I24" i="4"/>
  <c r="D18" i="8" l="1"/>
  <c r="G6" i="6"/>
  <c r="I4" i="6"/>
  <c r="I3" i="6"/>
  <c r="G10" i="6" s="1"/>
  <c r="L20" i="5" l="1"/>
  <c r="G15" i="5"/>
  <c r="G16" i="5"/>
  <c r="G17" i="5"/>
  <c r="G18" i="5"/>
  <c r="G14" i="5"/>
  <c r="F15" i="5"/>
  <c r="F16" i="5"/>
  <c r="F17" i="5"/>
  <c r="F18" i="5"/>
  <c r="F14" i="5"/>
  <c r="C1" i="5"/>
  <c r="D1" i="5" s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F4" i="4" l="1"/>
  <c r="F5" i="4"/>
  <c r="F6" i="4"/>
  <c r="F7" i="4"/>
  <c r="F8" i="4"/>
  <c r="F9" i="4"/>
  <c r="F3" i="4"/>
  <c r="F6" i="3"/>
  <c r="F5" i="3"/>
  <c r="F1" i="3"/>
  <c r="A2" i="3"/>
  <c r="A3" i="3" s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F7" i="3" l="1"/>
  <c r="F2" i="3"/>
  <c r="H5" i="1"/>
  <c r="H6" i="1" s="1"/>
  <c r="H7" i="1" s="1"/>
  <c r="H8" i="1" s="1"/>
  <c r="H4" i="1"/>
  <c r="J10" i="2" l="1"/>
  <c r="I10" i="2" a="1"/>
  <c r="I10" i="2" s="1"/>
  <c r="I3" i="2"/>
  <c r="D13" i="2"/>
  <c r="C13" i="2"/>
  <c r="D3" i="1"/>
  <c r="D4" i="1"/>
  <c r="D5" i="1"/>
  <c r="D6" i="1"/>
  <c r="D7" i="1"/>
  <c r="D8" i="1"/>
  <c r="D9" i="1"/>
  <c r="D10" i="1"/>
  <c r="D2" i="1"/>
  <c r="D31" i="1" s="1"/>
  <c r="C29" i="1"/>
  <c r="B29" i="1" a="1"/>
  <c r="B29" i="1" s="1"/>
  <c r="C28" i="1"/>
  <c r="B28" i="1" a="1"/>
  <c r="B28" i="1" s="1"/>
  <c r="C27" i="1"/>
  <c r="B27" i="1" a="1"/>
  <c r="B27" i="1" s="1"/>
  <c r="C26" i="1"/>
  <c r="B26" i="1" a="1"/>
  <c r="B26" i="1" s="1"/>
  <c r="K3" i="2"/>
  <c r="D30" i="1" l="1"/>
  <c r="D32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</calcChain>
</file>

<file path=xl/comments1.xml><?xml version="1.0" encoding="utf-8"?>
<comments xmlns="http://schemas.openxmlformats.org/spreadsheetml/2006/main">
  <authors>
    <author>Rajiv11904</author>
  </authors>
  <commentList>
    <comment ref="H1" authorId="0">
      <text>
        <r>
          <rPr>
            <b/>
            <sz val="8"/>
            <color indexed="81"/>
            <rFont val="Tahoma"/>
            <family val="2"/>
          </rPr>
          <t>Any change in these cells should change the calculation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<sst xmlns="http://schemas.openxmlformats.org/spreadsheetml/2006/main" count="1091" uniqueCount="292">
  <si>
    <t>Name</t>
  </si>
  <si>
    <t>ID</t>
  </si>
  <si>
    <t>Marks</t>
  </si>
  <si>
    <t>A</t>
  </si>
  <si>
    <t>B</t>
  </si>
  <si>
    <t>D</t>
  </si>
  <si>
    <t>C</t>
  </si>
  <si>
    <t>Function</t>
  </si>
  <si>
    <t>Excel Function</t>
  </si>
  <si>
    <t>Sumproduct</t>
  </si>
  <si>
    <t>Counta</t>
  </si>
  <si>
    <t>Countif</t>
  </si>
  <si>
    <t>Countifs</t>
  </si>
  <si>
    <t>Sum</t>
  </si>
  <si>
    <t>Sumif</t>
  </si>
  <si>
    <t>Sumifs</t>
  </si>
  <si>
    <t>Average</t>
  </si>
  <si>
    <t>Averageif</t>
  </si>
  <si>
    <t>Averageifs</t>
  </si>
  <si>
    <t>Count of A &amp; B</t>
  </si>
  <si>
    <t>Sum of A &amp; B</t>
  </si>
  <si>
    <t>Max value of A</t>
  </si>
  <si>
    <t>Max A and Max B</t>
  </si>
  <si>
    <t>2nd Max</t>
  </si>
  <si>
    <t>Total Unique Count</t>
  </si>
  <si>
    <t>SUM/COUNT</t>
  </si>
  <si>
    <t>All Value of A</t>
  </si>
  <si>
    <t>Normal Excel</t>
  </si>
  <si>
    <t>Total Count of A &amp; B</t>
  </si>
  <si>
    <t>Raju</t>
  </si>
  <si>
    <t>Deepak</t>
  </si>
  <si>
    <t>Mukesh</t>
  </si>
  <si>
    <t>Pankaj</t>
  </si>
  <si>
    <t>Sunil</t>
  </si>
  <si>
    <t>Sandeep</t>
  </si>
  <si>
    <t>Hitesh</t>
  </si>
  <si>
    <t>Highest cell no fill</t>
  </si>
  <si>
    <t>Sr.No</t>
  </si>
  <si>
    <t>Binary Operator</t>
  </si>
  <si>
    <t>--</t>
  </si>
  <si>
    <t>0+</t>
  </si>
  <si>
    <t>1*</t>
  </si>
  <si>
    <t>Int</t>
  </si>
  <si>
    <t>/1</t>
  </si>
  <si>
    <t>^1</t>
  </si>
  <si>
    <t>Date</t>
  </si>
  <si>
    <t>Amount</t>
  </si>
  <si>
    <t>Total All:</t>
  </si>
  <si>
    <t>Total Last 10 days:</t>
  </si>
  <si>
    <t>Range total:</t>
  </si>
  <si>
    <t>Start Date:</t>
  </si>
  <si>
    <t>End Date:</t>
  </si>
  <si>
    <t>Total:</t>
  </si>
  <si>
    <t>Calls received date</t>
  </si>
  <si>
    <t>Day</t>
  </si>
  <si>
    <t>Calls received-1</t>
  </si>
  <si>
    <t>Sunday</t>
  </si>
  <si>
    <t>Monday</t>
  </si>
  <si>
    <t>Tuesday</t>
  </si>
  <si>
    <t>Wednesday</t>
  </si>
  <si>
    <t>Thursday</t>
  </si>
  <si>
    <t>Friday</t>
  </si>
  <si>
    <t>Saturday</t>
  </si>
  <si>
    <t>Ans-1</t>
  </si>
  <si>
    <t>Wed</t>
  </si>
  <si>
    <t>Thu</t>
  </si>
  <si>
    <t>Fri</t>
  </si>
  <si>
    <t>Sat</t>
  </si>
  <si>
    <t>Sun</t>
  </si>
  <si>
    <t>Mon</t>
  </si>
  <si>
    <t>Tue</t>
  </si>
  <si>
    <t>Anup</t>
  </si>
  <si>
    <t>L</t>
  </si>
  <si>
    <t>Anand</t>
  </si>
  <si>
    <t>Sameer</t>
  </si>
  <si>
    <t>Sumit</t>
  </si>
  <si>
    <t>Satendra</t>
  </si>
  <si>
    <t>Total Present</t>
  </si>
  <si>
    <t>total Leave</t>
  </si>
  <si>
    <t>P</t>
  </si>
  <si>
    <t>anup</t>
  </si>
  <si>
    <t>Sales</t>
  </si>
  <si>
    <t>Sales Summary</t>
  </si>
  <si>
    <t>Starting Date (leave empty to add up to ending date)</t>
  </si>
  <si>
    <t>Ending Date (leave empty to add from starting date)</t>
  </si>
  <si>
    <t>Sum of Sales</t>
  </si>
  <si>
    <t>Excel 2003 Compatible Formulas</t>
  </si>
  <si>
    <t>SUMPRODUCT version:</t>
  </si>
  <si>
    <t>OFFSET version:</t>
  </si>
  <si>
    <t>Product</t>
  </si>
  <si>
    <t>Price</t>
  </si>
  <si>
    <t>Quantity</t>
  </si>
  <si>
    <t>Value</t>
  </si>
  <si>
    <t>Widget</t>
  </si>
  <si>
    <t>Gadget</t>
  </si>
  <si>
    <t>Thingamajig</t>
  </si>
  <si>
    <t>Whatsit</t>
  </si>
  <si>
    <t>Thingy</t>
  </si>
  <si>
    <t>Doohickey</t>
  </si>
  <si>
    <t>Doodad</t>
  </si>
  <si>
    <t>Geehaw</t>
  </si>
  <si>
    <t>Wadget</t>
  </si>
  <si>
    <t>Yaknow</t>
  </si>
  <si>
    <t>Total Value:</t>
  </si>
  <si>
    <t>S.No</t>
  </si>
  <si>
    <t>Topics</t>
  </si>
  <si>
    <t>Use of Sumproduct instead of below mention functions</t>
  </si>
  <si>
    <t>a)</t>
  </si>
  <si>
    <t>b)</t>
  </si>
  <si>
    <t>Average,Averageif,Averageifs</t>
  </si>
  <si>
    <t>c)</t>
  </si>
  <si>
    <t>d)</t>
  </si>
  <si>
    <t>Count-A,Countif,Countifs,Count of A&amp;B</t>
  </si>
  <si>
    <t>Sum,SumIF,SumIfs,Sum of A &amp; B</t>
  </si>
  <si>
    <t>Maximum value of A  &amp; B</t>
  </si>
  <si>
    <t>Sumproduct with Text Function</t>
  </si>
  <si>
    <t>No. Sold</t>
  </si>
  <si>
    <t>Oranges</t>
  </si>
  <si>
    <t>Apples</t>
  </si>
  <si>
    <t>Bananas</t>
  </si>
  <si>
    <t>Grapes</t>
  </si>
  <si>
    <t>Melon</t>
  </si>
  <si>
    <t>Mango</t>
  </si>
  <si>
    <t>Date:</t>
  </si>
  <si>
    <t>Fruit:</t>
  </si>
  <si>
    <t>No. Sold:</t>
  </si>
  <si>
    <t>Customer Type</t>
  </si>
  <si>
    <t>Sales Person - Name</t>
  </si>
  <si>
    <t>Delhi</t>
  </si>
  <si>
    <t>CPU</t>
  </si>
  <si>
    <t>Enterprise</t>
  </si>
  <si>
    <t>Prince</t>
  </si>
  <si>
    <t>AC</t>
  </si>
  <si>
    <t>Mamta</t>
  </si>
  <si>
    <t>FAN</t>
  </si>
  <si>
    <t>Parveen</t>
  </si>
  <si>
    <t>LCD</t>
  </si>
  <si>
    <t>Lalit</t>
  </si>
  <si>
    <t>Galaxy</t>
  </si>
  <si>
    <t>Rahul</t>
  </si>
  <si>
    <t>Mobile</t>
  </si>
  <si>
    <t>Rohit</t>
  </si>
  <si>
    <t>Mudit</t>
  </si>
  <si>
    <t>Neha</t>
  </si>
  <si>
    <t>Planet</t>
  </si>
  <si>
    <t>Sachin</t>
  </si>
  <si>
    <t>Renu</t>
  </si>
  <si>
    <t>Shweta</t>
  </si>
  <si>
    <t>Poly</t>
  </si>
  <si>
    <t>Kuhu</t>
  </si>
  <si>
    <t>Vijay</t>
  </si>
  <si>
    <t>Ashok</t>
  </si>
  <si>
    <t>Anajli</t>
  </si>
  <si>
    <t>Neetu</t>
  </si>
  <si>
    <t>Lalita</t>
  </si>
  <si>
    <t>Vegetable/Fruits</t>
  </si>
  <si>
    <t>Rate</t>
  </si>
  <si>
    <t>Bill</t>
  </si>
  <si>
    <t>Patato</t>
  </si>
  <si>
    <t>Tamato</t>
  </si>
  <si>
    <t>Graps</t>
  </si>
  <si>
    <t>Customer type</t>
  </si>
  <si>
    <t>Total Sale</t>
  </si>
  <si>
    <t>Count</t>
  </si>
  <si>
    <t>Sales Person</t>
  </si>
  <si>
    <t>No. Customers</t>
  </si>
  <si>
    <t>Net Sales</t>
  </si>
  <si>
    <t>Profit / Loss</t>
  </si>
  <si>
    <t>Questions</t>
  </si>
  <si>
    <t>Formula</t>
  </si>
  <si>
    <t>1. Sales for the person whose names starts with Pri</t>
  </si>
  <si>
    <t>Chander</t>
  </si>
  <si>
    <t>2. How many Persons are there whose name cointain 5 Character</t>
  </si>
  <si>
    <t>3. Sales for the person whose name ends with t</t>
  </si>
  <si>
    <t>Princy</t>
  </si>
  <si>
    <t>4. What is the Total Sale of Lalita</t>
  </si>
  <si>
    <t>Anant</t>
  </si>
  <si>
    <t>Vishresh</t>
  </si>
  <si>
    <t>priya</t>
  </si>
  <si>
    <t>Priti</t>
  </si>
  <si>
    <t>Candy</t>
  </si>
  <si>
    <t>Calories</t>
  </si>
  <si>
    <t>Fruits &amp; Vegetables</t>
  </si>
  <si>
    <t xml:space="preserve">Snickers </t>
  </si>
  <si>
    <t>Tomato</t>
  </si>
  <si>
    <t>Twix</t>
  </si>
  <si>
    <t>Potato</t>
  </si>
  <si>
    <t>Skittles</t>
  </si>
  <si>
    <t>Carrot</t>
  </si>
  <si>
    <t>Mars</t>
  </si>
  <si>
    <t>Apple</t>
  </si>
  <si>
    <t>Kit Kat</t>
  </si>
  <si>
    <t>Munch</t>
  </si>
  <si>
    <t>Food Items to Sum</t>
  </si>
  <si>
    <t>The Total Calories of Snickers and Potato is:</t>
  </si>
  <si>
    <t>Series</t>
  </si>
  <si>
    <t>The sum of the largest two numbers in the range C3:C11 is:</t>
  </si>
  <si>
    <t>Invoice number</t>
  </si>
  <si>
    <t>Market</t>
  </si>
  <si>
    <t>Income</t>
  </si>
  <si>
    <t>Nokia</t>
  </si>
  <si>
    <t>USA</t>
  </si>
  <si>
    <t>Motorola</t>
  </si>
  <si>
    <t>India</t>
  </si>
  <si>
    <t>Benq</t>
  </si>
  <si>
    <t>China</t>
  </si>
  <si>
    <t>Uk</t>
  </si>
  <si>
    <t>uk</t>
  </si>
  <si>
    <t>Samsung</t>
  </si>
  <si>
    <t>UK</t>
  </si>
  <si>
    <t>Calculate the total quantity so that the it is updated according to the selection in cell number H16 and I16</t>
  </si>
  <si>
    <t>Employee Name</t>
  </si>
  <si>
    <t>Employee Id</t>
  </si>
  <si>
    <t>Area</t>
  </si>
  <si>
    <t>Sale</t>
  </si>
  <si>
    <t>Burger</t>
  </si>
  <si>
    <t>North</t>
  </si>
  <si>
    <t>South</t>
  </si>
  <si>
    <t>Maggy</t>
  </si>
  <si>
    <t>East</t>
  </si>
  <si>
    <t>Pizza</t>
  </si>
  <si>
    <t>West</t>
  </si>
  <si>
    <t>Subway</t>
  </si>
  <si>
    <t>Gagan</t>
  </si>
  <si>
    <t>Salil</t>
  </si>
  <si>
    <t>Rakhi</t>
  </si>
  <si>
    <t>Nitin</t>
  </si>
  <si>
    <t>Vishal</t>
  </si>
  <si>
    <t>Durvesh</t>
  </si>
  <si>
    <t>Jyotsna</t>
  </si>
  <si>
    <t>Yesh</t>
  </si>
  <si>
    <t>Gopal</t>
  </si>
  <si>
    <t>Arwind</t>
  </si>
  <si>
    <t>Ankit</t>
  </si>
  <si>
    <t>Aditi</t>
  </si>
  <si>
    <t>Roky</t>
  </si>
  <si>
    <t>Minku</t>
  </si>
  <si>
    <t>Tinku</t>
  </si>
  <si>
    <t>Shinku</t>
  </si>
  <si>
    <t>Riya</t>
  </si>
  <si>
    <t>Diya</t>
  </si>
  <si>
    <t>Piya</t>
  </si>
  <si>
    <t>Priya</t>
  </si>
  <si>
    <t>Rajendra</t>
  </si>
  <si>
    <t>Reena</t>
  </si>
  <si>
    <t>Tina</t>
  </si>
  <si>
    <t>Meena</t>
  </si>
  <si>
    <t>Pinky</t>
  </si>
  <si>
    <t>Tinky</t>
  </si>
  <si>
    <t>Anshu</t>
  </si>
  <si>
    <t>Vanshu</t>
  </si>
  <si>
    <t>Ganga</t>
  </si>
  <si>
    <t>Ram</t>
  </si>
  <si>
    <t>sham</t>
  </si>
  <si>
    <t>Mohan</t>
  </si>
  <si>
    <t>Sohan</t>
  </si>
  <si>
    <t>Rohan</t>
  </si>
  <si>
    <t>Tohan</t>
  </si>
  <si>
    <t>Gurpreet</t>
  </si>
  <si>
    <t>Balveen</t>
  </si>
  <si>
    <t>Jaspreet</t>
  </si>
  <si>
    <t>Nimarta</t>
  </si>
  <si>
    <t>Kusum</t>
  </si>
  <si>
    <t>Veena</t>
  </si>
  <si>
    <t>Devesh</t>
  </si>
  <si>
    <t>Jamila</t>
  </si>
  <si>
    <t>Ravi</t>
  </si>
  <si>
    <t>Itee</t>
  </si>
  <si>
    <t>Pradeep</t>
  </si>
  <si>
    <t>Ishu</t>
  </si>
  <si>
    <t>Pooja</t>
  </si>
  <si>
    <t>Sunny</t>
  </si>
  <si>
    <t>Shivam</t>
  </si>
  <si>
    <t>Koko</t>
  </si>
  <si>
    <t>Add Employee Names from the second table into the first table against the corresponding Employee ID using an appropriate Excel function</t>
  </si>
  <si>
    <t>(DO NOT sort the data)</t>
  </si>
  <si>
    <t>Grand Total</t>
  </si>
  <si>
    <t>Emp ID</t>
  </si>
  <si>
    <t>Productivity</t>
  </si>
  <si>
    <t>ABC</t>
  </si>
  <si>
    <t>XYZ</t>
  </si>
  <si>
    <t>DEF</t>
  </si>
  <si>
    <t>GHY</t>
  </si>
  <si>
    <t>RKJ</t>
  </si>
  <si>
    <t>PRK</t>
  </si>
  <si>
    <t>MNK</t>
  </si>
  <si>
    <t>Salary</t>
  </si>
  <si>
    <t>Month</t>
  </si>
  <si>
    <t>E</t>
  </si>
  <si>
    <t>Jan</t>
  </si>
  <si>
    <t>Feb</t>
  </si>
  <si>
    <t>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</si>
</sst>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&quot;Rs.&quot;\ * #,##0.00_ ;_ &quot;Rs.&quot;\ * \-#,##0.00_ ;_ &quot;Rs.&quot;\ * &quot;-&quot;??_ ;_ @_ "/>
    <numFmt numFmtId="165" formatCode="_ * #,##0.00_ ;_ * \-#,##0.00_ ;_ * &quot;-&quot;??_ ;_ @_ "/>
    <numFmt numFmtId="166" formatCode="mm/dd/yyyy\ hh:mm:ss\ AM/PM"/>
    <numFmt numFmtId="167" formatCode="&quot;$&quot;#,##0.00"/>
    <numFmt numFmtId="168" formatCode="_(* #,##0_);_(* \(#,##0\);_(* &quot;-&quot;??_);_(@_)"/>
    <numFmt numFmtId="169" formatCode="d\ mmm\ yy"/>
    <numFmt numFmtId="170" formatCode="_-* #,##0\ _k_r_-;\-* #,##0\ _k_r_-;_-* &quot;-&quot;??\ _k_r_-;_-@_-"/>
  </numFmts>
  <fonts count="2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0"/>
      <name val="Times New Roman"/>
      <family val="1"/>
    </font>
    <font>
      <b/>
      <sz val="10"/>
      <color theme="0"/>
      <name val="Times New Roman"/>
      <family val="1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Arial"/>
      <family val="2"/>
    </font>
    <font>
      <sz val="10"/>
      <name val="Trebuchet MS"/>
      <family val="2"/>
    </font>
    <font>
      <b/>
      <sz val="10"/>
      <name val="Trebuchet MS"/>
      <family val="2"/>
    </font>
    <font>
      <sz val="10"/>
      <color indexed="9"/>
      <name val="Trebuchet MS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4"/>
      <color theme="1"/>
      <name val="Times New Roman"/>
      <family val="1"/>
    </font>
    <font>
      <sz val="14"/>
      <name val="Times New Roman"/>
      <family val="1"/>
    </font>
    <font>
      <sz val="18"/>
      <name val="Times New Roman"/>
      <family val="1"/>
    </font>
    <font>
      <b/>
      <sz val="12"/>
      <color rgb="FFFFFFFF"/>
      <name val="Arial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31"/>
      </patternFill>
    </fill>
    <fill>
      <patternFill patternType="solid">
        <fgColor indexed="5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</patternFill>
    </fill>
    <fill>
      <gradientFill type="path" left="0.5" right="0.5" top="0.5" bottom="0.5">
        <stop position="0">
          <color theme="7" tint="-0.25098422193060094"/>
        </stop>
        <stop position="1">
          <color rgb="FF002060"/>
        </stop>
      </gradient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8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808080"/>
        <bgColor indexed="64"/>
      </patternFill>
    </fill>
  </fills>
  <borders count="47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5">
    <xf numFmtId="0" fontId="0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11" applyNumberFormat="0" applyFill="0" applyAlignment="0" applyProtection="0"/>
    <xf numFmtId="0" fontId="2" fillId="6" borderId="0" applyNumberFormat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2" fillId="18" borderId="0" applyNumberFormat="0" applyBorder="0" applyAlignment="0" applyProtection="0"/>
    <xf numFmtId="0" fontId="13" fillId="19" borderId="20" applyBorder="0">
      <alignment horizontal="center" vertical="center"/>
    </xf>
    <xf numFmtId="0" fontId="3" fillId="0" borderId="0"/>
    <xf numFmtId="43" fontId="3" fillId="0" borderId="0" applyFont="0" applyFill="0" applyBorder="0" applyAlignment="0" applyProtection="0"/>
    <xf numFmtId="0" fontId="2" fillId="22" borderId="0" applyNumberFormat="0" applyBorder="0" applyAlignment="0" applyProtection="0"/>
    <xf numFmtId="0" fontId="18" fillId="0" borderId="0"/>
  </cellStyleXfs>
  <cellXfs count="150">
    <xf numFmtId="0" fontId="0" fillId="0" borderId="0" xfId="0"/>
    <xf numFmtId="0" fontId="1" fillId="3" borderId="2" xfId="2" applyFont="1" applyFill="1" applyBorder="1"/>
    <xf numFmtId="0" fontId="1" fillId="3" borderId="3" xfId="2" applyFont="1" applyFill="1" applyBorder="1"/>
    <xf numFmtId="0" fontId="0" fillId="4" borderId="4" xfId="0" applyFont="1" applyFill="1" applyBorder="1"/>
    <xf numFmtId="0" fontId="0" fillId="4" borderId="5" xfId="0" applyFont="1" applyFill="1" applyBorder="1"/>
    <xf numFmtId="0" fontId="0" fillId="5" borderId="4" xfId="0" applyFont="1" applyFill="1" applyBorder="1"/>
    <xf numFmtId="0" fontId="0" fillId="5" borderId="5" xfId="0" applyFont="1" applyFill="1" applyBorder="1"/>
    <xf numFmtId="0" fontId="0" fillId="4" borderId="6" xfId="0" applyFont="1" applyFill="1" applyBorder="1"/>
    <xf numFmtId="0" fontId="0" fillId="4" borderId="7" xfId="0" applyFont="1" applyFill="1" applyBorder="1"/>
    <xf numFmtId="0" fontId="1" fillId="2" borderId="8" xfId="1" applyBorder="1"/>
    <xf numFmtId="0" fontId="0" fillId="0" borderId="5" xfId="0" applyBorder="1"/>
    <xf numFmtId="0" fontId="0" fillId="0" borderId="9" xfId="0" applyFill="1" applyBorder="1"/>
    <xf numFmtId="0" fontId="0" fillId="0" borderId="10" xfId="0" applyBorder="1"/>
    <xf numFmtId="0" fontId="0" fillId="0" borderId="5" xfId="0" applyBorder="1" applyAlignment="1">
      <alignment horizontal="center"/>
    </xf>
    <xf numFmtId="14" fontId="0" fillId="0" borderId="0" xfId="0" applyNumberForma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6" fillId="7" borderId="0" xfId="0" applyFont="1" applyFill="1" applyAlignment="1">
      <alignment horizontal="center"/>
    </xf>
    <xf numFmtId="14" fontId="0" fillId="0" borderId="5" xfId="0" applyNumberFormat="1" applyBorder="1"/>
    <xf numFmtId="43" fontId="7" fillId="0" borderId="5" xfId="3" applyNumberFormat="1" applyFont="1" applyBorder="1"/>
    <xf numFmtId="0" fontId="5" fillId="7" borderId="0" xfId="0" applyFont="1" applyFill="1"/>
    <xf numFmtId="166" fontId="0" fillId="0" borderId="0" xfId="0" applyNumberFormat="1"/>
    <xf numFmtId="0" fontId="5" fillId="0" borderId="12" xfId="0" applyFont="1" applyBorder="1"/>
    <xf numFmtId="0" fontId="5" fillId="8" borderId="13" xfId="0" applyFont="1" applyFill="1" applyBorder="1" applyAlignment="1">
      <alignment horizontal="center"/>
    </xf>
    <xf numFmtId="0" fontId="5" fillId="0" borderId="14" xfId="0" applyFont="1" applyBorder="1"/>
    <xf numFmtId="0" fontId="5" fillId="0" borderId="16" xfId="0" applyFont="1" applyBorder="1"/>
    <xf numFmtId="0" fontId="5" fillId="0" borderId="17" xfId="0" applyFont="1" applyBorder="1"/>
    <xf numFmtId="0" fontId="5" fillId="0" borderId="0" xfId="0" applyFont="1"/>
    <xf numFmtId="15" fontId="0" fillId="0" borderId="5" xfId="0" applyNumberFormat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8" borderId="5" xfId="0" applyFill="1" applyBorder="1"/>
    <xf numFmtId="0" fontId="0" fillId="0" borderId="0" xfId="0" applyAlignment="1">
      <alignment horizontal="left"/>
    </xf>
    <xf numFmtId="0" fontId="0" fillId="0" borderId="5" xfId="0" quotePrefix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5" fillId="10" borderId="18" xfId="0" applyFont="1" applyFill="1" applyBorder="1" applyAlignment="1">
      <alignment horizontal="left"/>
    </xf>
    <xf numFmtId="0" fontId="5" fillId="10" borderId="18" xfId="0" applyFont="1" applyFill="1" applyBorder="1" applyAlignment="1">
      <alignment horizontal="center"/>
    </xf>
    <xf numFmtId="14" fontId="0" fillId="0" borderId="18" xfId="0" applyNumberFormat="1" applyBorder="1" applyAlignment="1">
      <alignment horizontal="left"/>
    </xf>
    <xf numFmtId="44" fontId="0" fillId="0" borderId="18" xfId="4" applyNumberFormat="1" applyFont="1" applyBorder="1" applyAlignment="1">
      <alignment horizontal="center"/>
    </xf>
    <xf numFmtId="14" fontId="0" fillId="11" borderId="18" xfId="0" applyNumberFormat="1" applyFill="1" applyBorder="1" applyAlignment="1">
      <alignment horizontal="left"/>
    </xf>
    <xf numFmtId="44" fontId="0" fillId="11" borderId="18" xfId="4" applyNumberFormat="1" applyFont="1" applyFill="1" applyBorder="1" applyAlignment="1">
      <alignment horizontal="center"/>
    </xf>
    <xf numFmtId="0" fontId="5" fillId="10" borderId="0" xfId="0" applyFont="1" applyFill="1"/>
    <xf numFmtId="0" fontId="0" fillId="0" borderId="0" xfId="0" applyFont="1"/>
    <xf numFmtId="0" fontId="0" fillId="12" borderId="0" xfId="0" applyFill="1"/>
    <xf numFmtId="14" fontId="0" fillId="13" borderId="18" xfId="0" applyNumberFormat="1" applyFill="1" applyBorder="1"/>
    <xf numFmtId="44" fontId="0" fillId="14" borderId="0" xfId="0" applyNumberFormat="1" applyFill="1"/>
    <xf numFmtId="44" fontId="0" fillId="7" borderId="0" xfId="0" applyNumberFormat="1" applyFill="1"/>
    <xf numFmtId="0" fontId="4" fillId="0" borderId="11" xfId="6"/>
    <xf numFmtId="0" fontId="4" fillId="0" borderId="11" xfId="6" applyAlignment="1">
      <alignment horizontal="right"/>
    </xf>
    <xf numFmtId="167" fontId="0" fillId="0" borderId="0" xfId="0" applyNumberFormat="1"/>
    <xf numFmtId="168" fontId="7" fillId="0" borderId="0" xfId="3" applyNumberFormat="1" applyFont="1"/>
    <xf numFmtId="9" fontId="7" fillId="0" borderId="0" xfId="5" applyFont="1"/>
    <xf numFmtId="49" fontId="7" fillId="15" borderId="0" xfId="3" applyNumberFormat="1" applyFont="1" applyFill="1"/>
    <xf numFmtId="167" fontId="7" fillId="15" borderId="0" xfId="3" applyNumberFormat="1" applyFont="1" applyFill="1"/>
    <xf numFmtId="168" fontId="7" fillId="15" borderId="0" xfId="3" applyNumberFormat="1" applyFont="1" applyFill="1"/>
    <xf numFmtId="9" fontId="7" fillId="15" borderId="0" xfId="5" applyFont="1" applyFill="1"/>
    <xf numFmtId="0" fontId="2" fillId="16" borderId="19" xfId="7" applyFill="1" applyBorder="1"/>
    <xf numFmtId="167" fontId="2" fillId="16" borderId="19" xfId="7" applyNumberFormat="1" applyFill="1" applyBorder="1"/>
    <xf numFmtId="0" fontId="11" fillId="0" borderId="5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2" fillId="0" borderId="5" xfId="8" applyBorder="1" applyAlignment="1" applyProtection="1"/>
    <xf numFmtId="169" fontId="3" fillId="17" borderId="0" xfId="0" applyNumberFormat="1" applyFont="1" applyFill="1"/>
    <xf numFmtId="0" fontId="5" fillId="17" borderId="0" xfId="0" applyFont="1" applyFill="1" applyAlignment="1">
      <alignment horizontal="right"/>
    </xf>
    <xf numFmtId="169" fontId="0" fillId="0" borderId="0" xfId="0" applyNumberFormat="1"/>
    <xf numFmtId="0" fontId="2" fillId="18" borderId="5" xfId="9" applyBorder="1" applyAlignment="1">
      <alignment horizontal="center"/>
    </xf>
    <xf numFmtId="15" fontId="2" fillId="18" borderId="5" xfId="9" applyNumberFormat="1" applyBorder="1" applyAlignment="1">
      <alignment horizontal="center"/>
    </xf>
    <xf numFmtId="0" fontId="13" fillId="19" borderId="5" xfId="10" applyBorder="1">
      <alignment horizontal="center" vertical="center"/>
    </xf>
    <xf numFmtId="0" fontId="0" fillId="20" borderId="5" xfId="0" applyFill="1" applyBorder="1"/>
    <xf numFmtId="0" fontId="0" fillId="20" borderId="0" xfId="0" applyFill="1"/>
    <xf numFmtId="0" fontId="14" fillId="19" borderId="5" xfId="10" applyFont="1" applyFill="1" applyBorder="1" applyAlignment="1" applyProtection="1">
      <alignment horizontal="center" vertical="center"/>
      <protection locked="0"/>
    </xf>
    <xf numFmtId="0" fontId="3" fillId="0" borderId="0" xfId="11" applyProtection="1">
      <protection locked="0"/>
    </xf>
    <xf numFmtId="1" fontId="15" fillId="21" borderId="5" xfId="11" applyNumberFormat="1" applyFont="1" applyFill="1" applyBorder="1" applyAlignment="1" applyProtection="1">
      <alignment horizontal="center"/>
      <protection locked="0"/>
    </xf>
    <xf numFmtId="170" fontId="15" fillId="21" borderId="5" xfId="12" applyNumberFormat="1" applyFont="1" applyFill="1" applyBorder="1" applyAlignment="1" applyProtection="1">
      <alignment horizontal="right"/>
      <protection locked="0"/>
    </xf>
    <xf numFmtId="17" fontId="15" fillId="21" borderId="5" xfId="11" applyNumberFormat="1" applyFont="1" applyFill="1" applyBorder="1" applyAlignment="1" applyProtection="1">
      <alignment horizontal="left"/>
      <protection locked="0"/>
    </xf>
    <xf numFmtId="170" fontId="16" fillId="21" borderId="5" xfId="12" quotePrefix="1" applyNumberFormat="1" applyFont="1" applyFill="1" applyBorder="1" applyAlignment="1" applyProtection="1">
      <alignment horizontal="left"/>
      <protection locked="0"/>
    </xf>
    <xf numFmtId="1" fontId="15" fillId="0" borderId="5" xfId="11" applyNumberFormat="1" applyFont="1" applyFill="1" applyBorder="1" applyAlignment="1" applyProtection="1">
      <alignment horizontal="center"/>
      <protection locked="0"/>
    </xf>
    <xf numFmtId="170" fontId="15" fillId="0" borderId="5" xfId="12" applyNumberFormat="1" applyFont="1" applyFill="1" applyBorder="1" applyAlignment="1" applyProtection="1">
      <alignment horizontal="right"/>
      <protection locked="0"/>
    </xf>
    <xf numFmtId="17" fontId="15" fillId="0" borderId="5" xfId="11" applyNumberFormat="1" applyFont="1" applyFill="1" applyBorder="1" applyAlignment="1" applyProtection="1">
      <alignment horizontal="left"/>
      <protection locked="0"/>
    </xf>
    <xf numFmtId="170" fontId="16" fillId="0" borderId="5" xfId="12" quotePrefix="1" applyNumberFormat="1" applyFont="1" applyFill="1" applyBorder="1" applyAlignment="1" applyProtection="1">
      <alignment horizontal="left"/>
      <protection locked="0"/>
    </xf>
    <xf numFmtId="0" fontId="17" fillId="0" borderId="5" xfId="0" applyFont="1" applyFill="1" applyBorder="1" applyProtection="1">
      <protection locked="0"/>
    </xf>
    <xf numFmtId="0" fontId="0" fillId="0" borderId="0" xfId="0" applyProtection="1">
      <protection locked="0"/>
    </xf>
    <xf numFmtId="0" fontId="3" fillId="0" borderId="0" xfId="11" applyAlignment="1" applyProtection="1">
      <alignment horizontal="center"/>
      <protection locked="0"/>
    </xf>
    <xf numFmtId="0" fontId="19" fillId="23" borderId="0" xfId="14" applyFont="1" applyFill="1"/>
    <xf numFmtId="0" fontId="0" fillId="24" borderId="0" xfId="14" applyFont="1" applyFill="1"/>
    <xf numFmtId="0" fontId="0" fillId="25" borderId="0" xfId="14" applyFont="1" applyFill="1" applyAlignment="1">
      <alignment horizontal="center"/>
    </xf>
    <xf numFmtId="0" fontId="20" fillId="26" borderId="0" xfId="14" applyFont="1" applyFill="1"/>
    <xf numFmtId="0" fontId="19" fillId="28" borderId="5" xfId="14" applyFont="1" applyFill="1" applyBorder="1" applyAlignment="1">
      <alignment horizontal="center"/>
    </xf>
    <xf numFmtId="0" fontId="0" fillId="0" borderId="5" xfId="14" applyFont="1" applyBorder="1" applyAlignment="1">
      <alignment horizontal="center"/>
    </xf>
    <xf numFmtId="0" fontId="20" fillId="29" borderId="5" xfId="14" applyFont="1" applyFill="1" applyBorder="1" applyAlignment="1">
      <alignment horizontal="center"/>
    </xf>
    <xf numFmtId="0" fontId="0" fillId="23" borderId="5" xfId="14" applyFont="1" applyFill="1" applyBorder="1" applyAlignment="1">
      <alignment horizontal="center"/>
    </xf>
    <xf numFmtId="0" fontId="18" fillId="23" borderId="5" xfId="14" applyFont="1" applyFill="1" applyBorder="1" applyAlignment="1">
      <alignment horizontal="center"/>
    </xf>
    <xf numFmtId="0" fontId="20" fillId="29" borderId="29" xfId="14" applyFont="1" applyFill="1" applyBorder="1" applyAlignment="1">
      <alignment horizontal="center"/>
    </xf>
    <xf numFmtId="0" fontId="23" fillId="21" borderId="5" xfId="0" applyFont="1" applyFill="1" applyBorder="1" applyProtection="1">
      <protection locked="0"/>
    </xf>
    <xf numFmtId="1" fontId="23" fillId="21" borderId="5" xfId="0" applyNumberFormat="1" applyFont="1" applyFill="1" applyBorder="1" applyAlignment="1" applyProtection="1">
      <alignment horizontal="center"/>
      <protection locked="0"/>
    </xf>
    <xf numFmtId="0" fontId="23" fillId="21" borderId="5" xfId="0" applyFont="1" applyFill="1" applyBorder="1" applyAlignment="1" applyProtection="1">
      <protection locked="0"/>
    </xf>
    <xf numFmtId="1" fontId="23" fillId="0" borderId="5" xfId="0" applyNumberFormat="1" applyFont="1" applyBorder="1" applyAlignment="1" applyProtection="1">
      <alignment horizontal="center"/>
      <protection locked="0"/>
    </xf>
    <xf numFmtId="0" fontId="23" fillId="0" borderId="5" xfId="0" applyFont="1" applyBorder="1" applyProtection="1">
      <protection locked="0"/>
    </xf>
    <xf numFmtId="0" fontId="23" fillId="0" borderId="5" xfId="0" applyFont="1" applyFill="1" applyBorder="1" applyAlignment="1" applyProtection="1">
      <protection locked="0"/>
    </xf>
    <xf numFmtId="0" fontId="23" fillId="0" borderId="5" xfId="0" applyFont="1" applyFill="1" applyBorder="1" applyProtection="1">
      <protection locked="0"/>
    </xf>
    <xf numFmtId="0" fontId="13" fillId="19" borderId="5" xfId="10" applyBorder="1" applyProtection="1">
      <alignment horizontal="center" vertical="center"/>
      <protection locked="0"/>
    </xf>
    <xf numFmtId="0" fontId="23" fillId="21" borderId="5" xfId="0" applyFont="1" applyFill="1" applyBorder="1" applyAlignment="1" applyProtection="1">
      <alignment horizontal="center"/>
      <protection locked="0"/>
    </xf>
    <xf numFmtId="0" fontId="23" fillId="21" borderId="10" xfId="0" applyFont="1" applyFill="1" applyBorder="1" applyAlignment="1" applyProtection="1">
      <alignment horizontal="center"/>
      <protection locked="0"/>
    </xf>
    <xf numFmtId="0" fontId="23" fillId="0" borderId="5" xfId="0" applyFont="1" applyBorder="1" applyAlignment="1" applyProtection="1">
      <alignment horizontal="center"/>
      <protection locked="0"/>
    </xf>
    <xf numFmtId="0" fontId="23" fillId="0" borderId="10" xfId="0" applyFont="1" applyBorder="1" applyAlignment="1" applyProtection="1">
      <alignment horizontal="center"/>
      <protection locked="0"/>
    </xf>
    <xf numFmtId="0" fontId="23" fillId="0" borderId="5" xfId="0" applyFont="1" applyFill="1" applyBorder="1" applyAlignment="1" applyProtection="1">
      <alignment horizontal="center"/>
      <protection locked="0"/>
    </xf>
    <xf numFmtId="0" fontId="24" fillId="0" borderId="0" xfId="0" applyFont="1" applyProtection="1">
      <protection locked="0"/>
    </xf>
    <xf numFmtId="0" fontId="25" fillId="0" borderId="0" xfId="0" applyFont="1" applyProtection="1">
      <protection locked="0"/>
    </xf>
    <xf numFmtId="0" fontId="1" fillId="30" borderId="35" xfId="13" applyFont="1" applyFill="1" applyBorder="1" applyAlignment="1" applyProtection="1">
      <alignment horizontal="center" vertical="center" wrapText="1"/>
      <protection locked="0"/>
    </xf>
    <xf numFmtId="0" fontId="23" fillId="31" borderId="32" xfId="0" applyFont="1" applyFill="1" applyBorder="1" applyAlignment="1" applyProtection="1">
      <alignment horizontal="center" vertical="center" wrapText="1"/>
      <protection locked="0"/>
    </xf>
    <xf numFmtId="0" fontId="23" fillId="0" borderId="32" xfId="0" applyFont="1" applyFill="1" applyBorder="1" applyAlignment="1" applyProtection="1">
      <alignment horizontal="center" vertical="center" wrapText="1"/>
      <protection locked="0"/>
    </xf>
    <xf numFmtId="0" fontId="1" fillId="30" borderId="36" xfId="13" applyFont="1" applyFill="1" applyBorder="1" applyAlignment="1" applyProtection="1">
      <alignment horizontal="center" vertical="center" wrapText="1"/>
      <protection locked="0"/>
    </xf>
    <xf numFmtId="0" fontId="0" fillId="0" borderId="5" xfId="0" applyBorder="1" applyAlignment="1">
      <alignment horizontal="center"/>
    </xf>
    <xf numFmtId="0" fontId="26" fillId="32" borderId="12" xfId="0" applyFont="1" applyFill="1" applyBorder="1" applyAlignment="1">
      <alignment horizontal="center" vertical="center"/>
    </xf>
    <xf numFmtId="0" fontId="26" fillId="32" borderId="13" xfId="0" applyFont="1" applyFill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7" fillId="0" borderId="28" xfId="0" applyFont="1" applyBorder="1" applyAlignment="1">
      <alignment horizontal="center" vertical="center"/>
    </xf>
    <xf numFmtId="14" fontId="28" fillId="0" borderId="28" xfId="0" applyNumberFormat="1" applyFont="1" applyBorder="1" applyAlignment="1">
      <alignment horizontal="center" vertical="center"/>
    </xf>
    <xf numFmtId="9" fontId="27" fillId="0" borderId="28" xfId="0" applyNumberFormat="1" applyFont="1" applyBorder="1" applyAlignment="1">
      <alignment horizontal="center" vertical="center"/>
    </xf>
    <xf numFmtId="16" fontId="26" fillId="32" borderId="25" xfId="0" applyNumberFormat="1" applyFont="1" applyFill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9" fontId="0" fillId="0" borderId="0" xfId="0" applyNumberFormat="1"/>
    <xf numFmtId="0" fontId="20" fillId="29" borderId="30" xfId="14" applyFont="1" applyFill="1" applyBorder="1" applyAlignment="1">
      <alignment horizontal="center"/>
    </xf>
    <xf numFmtId="0" fontId="20" fillId="29" borderId="31" xfId="14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19" fillId="27" borderId="0" xfId="14" applyFont="1" applyFill="1" applyAlignment="1">
      <alignment horizontal="center"/>
    </xf>
    <xf numFmtId="0" fontId="19" fillId="27" borderId="21" xfId="14" applyFont="1" applyFill="1" applyBorder="1" applyAlignment="1">
      <alignment horizontal="center"/>
    </xf>
    <xf numFmtId="0" fontId="19" fillId="27" borderId="22" xfId="14" applyFont="1" applyFill="1" applyBorder="1" applyAlignment="1">
      <alignment horizontal="center"/>
    </xf>
    <xf numFmtId="0" fontId="19" fillId="27" borderId="13" xfId="14" applyFont="1" applyFill="1" applyBorder="1" applyAlignment="1">
      <alignment horizontal="center"/>
    </xf>
    <xf numFmtId="0" fontId="0" fillId="27" borderId="23" xfId="14" applyFont="1" applyFill="1" applyBorder="1" applyAlignment="1">
      <alignment horizontal="center" wrapText="1"/>
    </xf>
    <xf numFmtId="0" fontId="0" fillId="27" borderId="24" xfId="14" applyFont="1" applyFill="1" applyBorder="1" applyAlignment="1">
      <alignment horizontal="center" wrapText="1"/>
    </xf>
    <xf numFmtId="0" fontId="0" fillId="27" borderId="25" xfId="14" applyFont="1" applyFill="1" applyBorder="1" applyAlignment="1">
      <alignment horizontal="center" wrapText="1"/>
    </xf>
    <xf numFmtId="0" fontId="0" fillId="27" borderId="26" xfId="14" applyFont="1" applyFill="1" applyBorder="1" applyAlignment="1">
      <alignment horizontal="center" wrapText="1"/>
    </xf>
    <xf numFmtId="0" fontId="0" fillId="27" borderId="27" xfId="14" applyFont="1" applyFill="1" applyBorder="1" applyAlignment="1">
      <alignment horizontal="center" wrapText="1"/>
    </xf>
    <xf numFmtId="0" fontId="0" fillId="27" borderId="28" xfId="14" applyFont="1" applyFill="1" applyBorder="1" applyAlignment="1">
      <alignment horizontal="center" wrapText="1"/>
    </xf>
    <xf numFmtId="0" fontId="13" fillId="19" borderId="32" xfId="10" applyBorder="1" applyProtection="1">
      <alignment horizontal="center" vertical="center"/>
      <protection locked="0"/>
    </xf>
    <xf numFmtId="0" fontId="13" fillId="19" borderId="33" xfId="10" applyBorder="1" applyProtection="1">
      <alignment horizontal="center" vertical="center"/>
      <protection locked="0"/>
    </xf>
    <xf numFmtId="0" fontId="13" fillId="19" borderId="34" xfId="10" applyBorder="1" applyProtection="1">
      <alignment horizontal="center" vertical="center"/>
      <protection locked="0"/>
    </xf>
    <xf numFmtId="0" fontId="5" fillId="0" borderId="38" xfId="0" applyFont="1" applyBorder="1"/>
    <xf numFmtId="0" fontId="5" fillId="0" borderId="39" xfId="0" applyFont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0" fillId="0" borderId="41" xfId="0" applyBorder="1"/>
    <xf numFmtId="0" fontId="0" fillId="0" borderId="10" xfId="0" applyBorder="1" applyAlignment="1">
      <alignment horizontal="center"/>
    </xf>
    <xf numFmtId="15" fontId="0" fillId="0" borderId="42" xfId="0" applyNumberFormat="1" applyBorder="1" applyAlignment="1">
      <alignment horizontal="center"/>
    </xf>
    <xf numFmtId="0" fontId="0" fillId="0" borderId="4" xfId="0" applyBorder="1"/>
    <xf numFmtId="15" fontId="0" fillId="0" borderId="43" xfId="0" applyNumberFormat="1" applyBorder="1" applyAlignment="1">
      <alignment horizontal="center"/>
    </xf>
    <xf numFmtId="0" fontId="0" fillId="0" borderId="6" xfId="0" applyBorder="1"/>
    <xf numFmtId="0" fontId="0" fillId="0" borderId="7" xfId="0" applyBorder="1" applyAlignment="1">
      <alignment horizontal="center"/>
    </xf>
    <xf numFmtId="15" fontId="0" fillId="0" borderId="44" xfId="0" applyNumberForma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46" xfId="0" applyFont="1" applyBorder="1" applyAlignment="1">
      <alignment horizontal="center"/>
    </xf>
  </cellXfs>
  <cellStyles count="15">
    <cellStyle name="Accent1" xfId="7" builtinId="29"/>
    <cellStyle name="Accent2" xfId="2" builtinId="33"/>
    <cellStyle name="Accent4" xfId="9" builtinId="41"/>
    <cellStyle name="Accent5" xfId="13" builtinId="45"/>
    <cellStyle name="Check Cell" xfId="1" builtinId="23"/>
    <cellStyle name="Comma" xfId="3" builtinId="3"/>
    <cellStyle name="Comma 2" xfId="12"/>
    <cellStyle name="Currency" xfId="4" builtinId="4"/>
    <cellStyle name="Heading 2" xfId="6" builtinId="17"/>
    <cellStyle name="Hyperlink" xfId="8" builtinId="8"/>
    <cellStyle name="Norm੎੎" xfId="14"/>
    <cellStyle name="Normal" xfId="0" builtinId="0"/>
    <cellStyle name="Normal 2" xfId="11"/>
    <cellStyle name="Percent" xfId="5" builtinId="5"/>
    <cellStyle name="Style 1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0"/>
  <sheetViews>
    <sheetView workbookViewId="0">
      <selection activeCell="B10" sqref="B10"/>
    </sheetView>
  </sheetViews>
  <sheetFormatPr defaultRowHeight="15" x14ac:dyDescent="0.25"/>
  <cols>
    <col min="2" max="2" width="51.140625" bestFit="1" customWidth="1"/>
  </cols>
  <sheetData>
    <row r="1" spans="1:2" x14ac:dyDescent="0.25">
      <c r="A1" t="s">
        <v>104</v>
      </c>
      <c r="B1" t="s">
        <v>105</v>
      </c>
    </row>
    <row r="2" spans="1:2" ht="18.75" x14ac:dyDescent="0.3">
      <c r="A2" s="59">
        <v>1</v>
      </c>
      <c r="B2" s="60" t="s">
        <v>106</v>
      </c>
    </row>
    <row r="3" spans="1:2" x14ac:dyDescent="0.25">
      <c r="A3" s="13" t="s">
        <v>107</v>
      </c>
      <c r="B3" s="60" t="s">
        <v>112</v>
      </c>
    </row>
    <row r="4" spans="1:2" x14ac:dyDescent="0.25">
      <c r="A4" s="13" t="s">
        <v>108</v>
      </c>
      <c r="B4" s="60" t="s">
        <v>113</v>
      </c>
    </row>
    <row r="5" spans="1:2" x14ac:dyDescent="0.25">
      <c r="A5" s="13" t="s">
        <v>110</v>
      </c>
      <c r="B5" s="60" t="s">
        <v>109</v>
      </c>
    </row>
    <row r="6" spans="1:2" x14ac:dyDescent="0.25">
      <c r="A6" s="13" t="s">
        <v>111</v>
      </c>
      <c r="B6" s="60" t="s">
        <v>114</v>
      </c>
    </row>
    <row r="7" spans="1:2" ht="18.75" x14ac:dyDescent="0.3">
      <c r="A7" s="58">
        <v>2</v>
      </c>
      <c r="B7" s="60" t="s">
        <v>115</v>
      </c>
    </row>
    <row r="8" spans="1:2" x14ac:dyDescent="0.25">
      <c r="A8" s="10"/>
      <c r="B8" s="10"/>
    </row>
    <row r="9" spans="1:2" x14ac:dyDescent="0.25">
      <c r="A9" s="10"/>
      <c r="B9" s="10"/>
    </row>
    <row r="10" spans="1:2" x14ac:dyDescent="0.25">
      <c r="A10" s="10"/>
      <c r="B10" s="10"/>
    </row>
    <row r="11" spans="1:2" x14ac:dyDescent="0.25">
      <c r="A11" s="10"/>
      <c r="B11" s="10"/>
    </row>
    <row r="12" spans="1:2" x14ac:dyDescent="0.25">
      <c r="A12" s="10"/>
      <c r="B12" s="10"/>
    </row>
    <row r="13" spans="1:2" x14ac:dyDescent="0.25">
      <c r="A13" s="10"/>
      <c r="B13" s="10"/>
    </row>
    <row r="14" spans="1:2" x14ac:dyDescent="0.25">
      <c r="A14" s="10"/>
      <c r="B14" s="10"/>
    </row>
    <row r="15" spans="1:2" x14ac:dyDescent="0.25">
      <c r="A15" s="10"/>
      <c r="B15" s="10"/>
    </row>
    <row r="16" spans="1:2" x14ac:dyDescent="0.25">
      <c r="A16" s="10"/>
      <c r="B16" s="10"/>
    </row>
    <row r="17" spans="1:2" x14ac:dyDescent="0.25">
      <c r="A17" s="10"/>
      <c r="B17" s="10"/>
    </row>
    <row r="18" spans="1:2" x14ac:dyDescent="0.25">
      <c r="A18" s="10"/>
      <c r="B18" s="10"/>
    </row>
    <row r="19" spans="1:2" x14ac:dyDescent="0.25">
      <c r="A19" s="10"/>
      <c r="B19" s="10"/>
    </row>
    <row r="20" spans="1:2" x14ac:dyDescent="0.25">
      <c r="A20" s="10"/>
      <c r="B20" s="10"/>
    </row>
    <row r="21" spans="1:2" x14ac:dyDescent="0.25">
      <c r="A21" s="10"/>
      <c r="B21" s="10"/>
    </row>
    <row r="22" spans="1:2" x14ac:dyDescent="0.25">
      <c r="A22" s="10"/>
      <c r="B22" s="10"/>
    </row>
    <row r="23" spans="1:2" x14ac:dyDescent="0.25">
      <c r="A23" s="10"/>
      <c r="B23" s="10"/>
    </row>
    <row r="24" spans="1:2" x14ac:dyDescent="0.25">
      <c r="A24" s="10"/>
      <c r="B24" s="10"/>
    </row>
    <row r="25" spans="1:2" x14ac:dyDescent="0.25">
      <c r="A25" s="10"/>
      <c r="B25" s="10"/>
    </row>
    <row r="26" spans="1:2" x14ac:dyDescent="0.25">
      <c r="A26" s="10"/>
      <c r="B26" s="10"/>
    </row>
    <row r="27" spans="1:2" x14ac:dyDescent="0.25">
      <c r="A27" s="10"/>
      <c r="B27" s="10"/>
    </row>
    <row r="28" spans="1:2" x14ac:dyDescent="0.25">
      <c r="A28" s="10"/>
      <c r="B28" s="10"/>
    </row>
    <row r="29" spans="1:2" x14ac:dyDescent="0.25">
      <c r="A29" s="10"/>
      <c r="B29" s="10"/>
    </row>
    <row r="30" spans="1:2" x14ac:dyDescent="0.25">
      <c r="A30" s="10"/>
      <c r="B30" s="10"/>
    </row>
  </sheetData>
  <hyperlinks>
    <hyperlink ref="B2" location="Sheet1!A1" display="Use of Sumproduct instead of below mention functions"/>
    <hyperlink ref="B3:B6" location="Sheet1!A1" display="Count-A,Countif,Countifs,Count of A&amp;B"/>
    <hyperlink ref="B7" location="'Sumproduct with Text'!A1" display="Sumproduct with Text Function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2"/>
  <sheetViews>
    <sheetView workbookViewId="0">
      <selection activeCell="C16" sqref="C16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12" bestFit="1" customWidth="1"/>
    <col min="9" max="9" width="15.140625" bestFit="1" customWidth="1"/>
  </cols>
  <sheetData>
    <row r="1" spans="1:9" x14ac:dyDescent="0.25">
      <c r="A1" s="1" t="s">
        <v>0</v>
      </c>
      <c r="B1" s="2" t="s">
        <v>1</v>
      </c>
      <c r="C1" s="2" t="s">
        <v>2</v>
      </c>
    </row>
    <row r="2" spans="1:9" x14ac:dyDescent="0.25">
      <c r="A2" s="3" t="s">
        <v>3</v>
      </c>
      <c r="B2" s="4">
        <v>111</v>
      </c>
      <c r="C2" s="4">
        <v>123</v>
      </c>
      <c r="D2">
        <f>SUMPRODUCT(--(A2:$A$10=A2))</f>
        <v>3</v>
      </c>
      <c r="H2" s="10" t="s">
        <v>37</v>
      </c>
      <c r="I2" s="10" t="s">
        <v>38</v>
      </c>
    </row>
    <row r="3" spans="1:9" x14ac:dyDescent="0.25">
      <c r="A3" s="5" t="s">
        <v>4</v>
      </c>
      <c r="B3" s="6">
        <v>222</v>
      </c>
      <c r="C3" s="6">
        <v>232</v>
      </c>
      <c r="D3">
        <f>SUMPRODUCT(--(A3:$A$10=A3))</f>
        <v>3</v>
      </c>
      <c r="H3" s="13">
        <v>1</v>
      </c>
      <c r="I3" s="33" t="s">
        <v>39</v>
      </c>
    </row>
    <row r="4" spans="1:9" x14ac:dyDescent="0.25">
      <c r="A4" s="3" t="s">
        <v>3</v>
      </c>
      <c r="B4" s="4">
        <v>111</v>
      </c>
      <c r="C4" s="4">
        <v>453</v>
      </c>
      <c r="D4">
        <f>SUMPRODUCT(--(A4:$A$10=A4))</f>
        <v>2</v>
      </c>
      <c r="H4" s="13">
        <f>H3+1</f>
        <v>2</v>
      </c>
      <c r="I4" s="13" t="s">
        <v>40</v>
      </c>
    </row>
    <row r="5" spans="1:9" x14ac:dyDescent="0.25">
      <c r="A5" s="5" t="s">
        <v>5</v>
      </c>
      <c r="B5" s="6">
        <v>444</v>
      </c>
      <c r="C5" s="6">
        <v>231</v>
      </c>
      <c r="D5">
        <f>SUMPRODUCT(--(A5:$A$10=A5))</f>
        <v>2</v>
      </c>
      <c r="H5" s="13">
        <f t="shared" ref="H5:H8" si="0">H4+1</f>
        <v>3</v>
      </c>
      <c r="I5" s="13" t="s">
        <v>41</v>
      </c>
    </row>
    <row r="6" spans="1:9" x14ac:dyDescent="0.25">
      <c r="A6" s="3" t="s">
        <v>3</v>
      </c>
      <c r="B6" s="4">
        <v>999</v>
      </c>
      <c r="C6" s="4">
        <v>124</v>
      </c>
      <c r="D6">
        <f>SUMPRODUCT(--(A6:$A$10=A6))</f>
        <v>1</v>
      </c>
      <c r="H6" s="13">
        <f t="shared" si="0"/>
        <v>4</v>
      </c>
      <c r="I6" s="13" t="s">
        <v>42</v>
      </c>
    </row>
    <row r="7" spans="1:9" x14ac:dyDescent="0.25">
      <c r="A7" s="5" t="s">
        <v>4</v>
      </c>
      <c r="B7" s="6">
        <v>555</v>
      </c>
      <c r="C7" s="6">
        <v>234</v>
      </c>
      <c r="D7">
        <f>SUMPRODUCT(--(A7:$A$10=A7))</f>
        <v>2</v>
      </c>
      <c r="H7" s="13">
        <f t="shared" si="0"/>
        <v>5</v>
      </c>
      <c r="I7" s="13" t="s">
        <v>43</v>
      </c>
    </row>
    <row r="8" spans="1:9" x14ac:dyDescent="0.25">
      <c r="A8" s="3" t="s">
        <v>6</v>
      </c>
      <c r="B8" s="4">
        <v>333</v>
      </c>
      <c r="C8" s="4">
        <v>321</v>
      </c>
      <c r="D8">
        <f>SUMPRODUCT(--(A8:$A$10=A8))</f>
        <v>1</v>
      </c>
      <c r="H8" s="13">
        <f t="shared" si="0"/>
        <v>6</v>
      </c>
      <c r="I8" s="13" t="s">
        <v>44</v>
      </c>
    </row>
    <row r="9" spans="1:9" x14ac:dyDescent="0.25">
      <c r="A9" s="5" t="s">
        <v>4</v>
      </c>
      <c r="B9" s="6">
        <v>222</v>
      </c>
      <c r="C9" s="6">
        <v>256</v>
      </c>
      <c r="D9">
        <f>SUMPRODUCT(--(A9:$A$10=A9))</f>
        <v>1</v>
      </c>
    </row>
    <row r="10" spans="1:9" ht="15.75" thickBot="1" x14ac:dyDescent="0.3">
      <c r="A10" s="7" t="s">
        <v>5</v>
      </c>
      <c r="B10" s="8">
        <v>444</v>
      </c>
      <c r="C10" s="8">
        <v>231</v>
      </c>
      <c r="D10">
        <f>SUMPRODUCT(--(A10:$A$10=A10))</f>
        <v>1</v>
      </c>
    </row>
    <row r="12" spans="1:9" x14ac:dyDescent="0.25">
      <c r="B12" t="s">
        <v>3</v>
      </c>
      <c r="C12">
        <v>111</v>
      </c>
    </row>
    <row r="13" spans="1:9" ht="15.75" thickBot="1" x14ac:dyDescent="0.3">
      <c r="B13" t="s">
        <v>4</v>
      </c>
    </row>
    <row r="14" spans="1:9" ht="15.75" thickTop="1" x14ac:dyDescent="0.25">
      <c r="A14" s="9" t="s">
        <v>7</v>
      </c>
      <c r="B14" s="9" t="s">
        <v>8</v>
      </c>
      <c r="C14" s="9" t="s">
        <v>9</v>
      </c>
    </row>
    <row r="15" spans="1:9" x14ac:dyDescent="0.25">
      <c r="A15" s="10" t="s">
        <v>10</v>
      </c>
      <c r="B15" s="13">
        <f>COUNTA(A2:A10)</f>
        <v>9</v>
      </c>
      <c r="C15" s="13">
        <f>SUMPRODUCT(--(A2:A10=A2:A10))</f>
        <v>9</v>
      </c>
    </row>
    <row r="16" spans="1:9" x14ac:dyDescent="0.25">
      <c r="A16" s="10" t="s">
        <v>11</v>
      </c>
      <c r="B16" s="13">
        <f>COUNTIF($A$2:$A$10,B12)</f>
        <v>3</v>
      </c>
      <c r="C16" s="13">
        <f>SUMPRODUCT(--($A$2:$A$10=B12))</f>
        <v>3</v>
      </c>
    </row>
    <row r="17" spans="1:4" x14ac:dyDescent="0.25">
      <c r="A17" s="10" t="s">
        <v>12</v>
      </c>
      <c r="B17" s="13">
        <f>COUNTIFS($A$2:$A$10,B12,$B$2:$B$10,C12)</f>
        <v>2</v>
      </c>
      <c r="C17" s="13">
        <f>SUMPRODUCT(--($A$2:$A$10=B12)*($B$2:$B$10=C12))</f>
        <v>2</v>
      </c>
    </row>
    <row r="18" spans="1:4" x14ac:dyDescent="0.25">
      <c r="A18" s="10" t="s">
        <v>13</v>
      </c>
      <c r="B18" s="13">
        <f>SUM(C2:C10)</f>
        <v>2205</v>
      </c>
      <c r="C18" s="13">
        <f>SUMPRODUCT((C2:C10))</f>
        <v>2205</v>
      </c>
    </row>
    <row r="19" spans="1:4" x14ac:dyDescent="0.25">
      <c r="A19" s="10" t="s">
        <v>14</v>
      </c>
      <c r="B19" s="13">
        <f>SUMIF($A$2:$A$10,B12,C2:C10)</f>
        <v>700</v>
      </c>
      <c r="C19" s="13">
        <f>SUMPRODUCT(($A$2:$A$10=B12)*(C2:C10))</f>
        <v>700</v>
      </c>
    </row>
    <row r="20" spans="1:4" x14ac:dyDescent="0.25">
      <c r="A20" s="10" t="s">
        <v>15</v>
      </c>
      <c r="B20" s="13">
        <f>SUMIFS($C$2:$C$10,$A$2:$A$10,B12,$B$2:$B$10,C12)</f>
        <v>576</v>
      </c>
      <c r="C20" s="13">
        <f>SUMPRODUCT(($A$2:$A$10=B12)*($B$2:$B$10=C12)*(C2:C10))</f>
        <v>576</v>
      </c>
    </row>
    <row r="21" spans="1:4" x14ac:dyDescent="0.25">
      <c r="A21" s="10" t="s">
        <v>16</v>
      </c>
      <c r="B21" s="13">
        <f>AVERAGE(C2:C10)</f>
        <v>245</v>
      </c>
      <c r="C21" s="13">
        <f>SUMPRODUCT((C2:C10))/SUMPRODUCT(--($A$2:$A$10=$A$2:$A$10))</f>
        <v>245</v>
      </c>
      <c r="D21" t="s">
        <v>25</v>
      </c>
    </row>
    <row r="22" spans="1:4" x14ac:dyDescent="0.25">
      <c r="A22" s="10" t="s">
        <v>17</v>
      </c>
      <c r="B22" s="13">
        <f>AVERAGEIF($A$2:$A$10,B12,$C$2:$C$10)</f>
        <v>233.33333333333334</v>
      </c>
      <c r="C22" s="13">
        <f>SUMPRODUCT(($A$2:$A$10=B12)*(C2:C10))/SUMPRODUCT(--($A$2:$A$10=B12))</f>
        <v>233.33333333333334</v>
      </c>
    </row>
    <row r="23" spans="1:4" x14ac:dyDescent="0.25">
      <c r="A23" s="10" t="s">
        <v>18</v>
      </c>
      <c r="B23" s="13">
        <f>AVERAGEIFS($C$2:$C$10,$A$2:$A$10,B12,$B$2:$B$10,C12)</f>
        <v>288</v>
      </c>
      <c r="C23" s="13">
        <f>SUMPRODUCT(($A$2:$A$10=B12)*($B$2:$B$10=C12)*($C$2:$C$10))/SUMPRODUCT(--($A$2:$A$10=B12)*($B$2:$B$10=C12))</f>
        <v>288</v>
      </c>
    </row>
    <row r="24" spans="1:4" x14ac:dyDescent="0.25">
      <c r="A24" s="10" t="s">
        <v>19</v>
      </c>
      <c r="B24" s="13">
        <f>SUM(COUNTIF($A$2:$A$10,{"A","B"}))</f>
        <v>6</v>
      </c>
      <c r="C24" s="13">
        <f>SUMPRODUCT(--($A$2:$A$10={"A","B"}))</f>
        <v>6</v>
      </c>
    </row>
    <row r="25" spans="1:4" x14ac:dyDescent="0.25">
      <c r="A25" s="10" t="s">
        <v>20</v>
      </c>
      <c r="B25" s="13">
        <f>SUM(SUMIF($A$2:$A$10,{"A","B"},C2:C10))</f>
        <v>1422</v>
      </c>
      <c r="C25" s="13">
        <f>SUMPRODUCT(($A$2:$A$10={"A","B"})*(C2:C10))</f>
        <v>1422</v>
      </c>
    </row>
    <row r="26" spans="1:4" x14ac:dyDescent="0.25">
      <c r="A26" s="10" t="s">
        <v>21</v>
      </c>
      <c r="B26" s="13">
        <f t="array" ref="B26">MAX(IF($A$2:$A$10=B12,$C$2:$C$10,""))</f>
        <v>453</v>
      </c>
      <c r="C26" s="13">
        <f>SUMPRODUCT(MAX((A2:A10=B12)*(C2:C10)))</f>
        <v>453</v>
      </c>
    </row>
    <row r="27" spans="1:4" x14ac:dyDescent="0.25">
      <c r="A27" s="10" t="s">
        <v>22</v>
      </c>
      <c r="B27" s="13">
        <f t="array" ref="B27">MAX(IF($A$2:$A$10={"A","B"},$C$2:$C$10,""))</f>
        <v>453</v>
      </c>
      <c r="C27" s="13">
        <f>SUMPRODUCT(MAX(($A$2:$A$10={"A","B"})*(C2:C10)))</f>
        <v>453</v>
      </c>
    </row>
    <row r="28" spans="1:4" x14ac:dyDescent="0.25">
      <c r="A28" s="11" t="s">
        <v>23</v>
      </c>
      <c r="B28" s="13">
        <f t="array" ref="B28">LARGE(IF($A$2:$A$10=B12,$C$2:$C$10,""),2)</f>
        <v>124</v>
      </c>
      <c r="C28" s="13">
        <f>SUMPRODUCT(LARGE(($A$2:$A$10=B12)*(C2:C10),2))</f>
        <v>124</v>
      </c>
    </row>
    <row r="29" spans="1:4" x14ac:dyDescent="0.25">
      <c r="A29" s="10" t="s">
        <v>24</v>
      </c>
      <c r="B29" s="13">
        <f t="array" ref="B29">SUM(1/COUNTIF($A$2:$A$10,A2:A10))</f>
        <v>4</v>
      </c>
      <c r="C29" s="13">
        <f>SUMPRODUCT(1/COUNTIF($A$2:$A$10,A2:A10))</f>
        <v>4</v>
      </c>
    </row>
    <row r="30" spans="1:4" x14ac:dyDescent="0.25">
      <c r="A30" s="12" t="s">
        <v>26</v>
      </c>
      <c r="B30" s="13" t="s">
        <v>3</v>
      </c>
      <c r="C30" s="13">
        <v>123</v>
      </c>
      <c r="D30">
        <f>SUMPRODUCT(($A$2:$A$10=$B$30)*($D$2:$D$10=ROW(A1))*($C$2:$C$10))</f>
        <v>124</v>
      </c>
    </row>
    <row r="31" spans="1:4" x14ac:dyDescent="0.25">
      <c r="C31">
        <v>453</v>
      </c>
      <c r="D31">
        <f>SUMPRODUCT(($A$2:$A$10=$B$30)*($D$2:$D$10=ROW(A2))*($C$2:$C$10))</f>
        <v>453</v>
      </c>
    </row>
    <row r="32" spans="1:4" x14ac:dyDescent="0.25">
      <c r="C32">
        <v>124</v>
      </c>
      <c r="D32">
        <f>SUMPRODUCT(($A$2:$A$10=$B$30)*($D$2:$D$10=ROW(A3))*($C$2:$C$10))</f>
        <v>123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5"/>
  <sheetViews>
    <sheetView workbookViewId="0">
      <selection activeCell="I3" sqref="I3"/>
    </sheetView>
  </sheetViews>
  <sheetFormatPr defaultRowHeight="15" x14ac:dyDescent="0.25"/>
  <cols>
    <col min="2" max="2" width="18.85546875" bestFit="1" customWidth="1"/>
    <col min="3" max="3" width="12.5703125" bestFit="1" customWidth="1"/>
    <col min="4" max="4" width="11.7109375" bestFit="1" customWidth="1"/>
    <col min="8" max="8" width="17" bestFit="1" customWidth="1"/>
    <col min="10" max="10" width="11.7109375" bestFit="1" customWidth="1"/>
  </cols>
  <sheetData>
    <row r="1" spans="1:11" x14ac:dyDescent="0.25">
      <c r="A1" s="1" t="s">
        <v>0</v>
      </c>
      <c r="B1" s="2" t="s">
        <v>2</v>
      </c>
      <c r="F1" t="s">
        <v>0</v>
      </c>
    </row>
    <row r="2" spans="1:11" x14ac:dyDescent="0.25">
      <c r="A2" s="3" t="s">
        <v>3</v>
      </c>
      <c r="B2" s="4">
        <v>123</v>
      </c>
      <c r="F2" t="s">
        <v>29</v>
      </c>
    </row>
    <row r="3" spans="1:11" x14ac:dyDescent="0.25">
      <c r="A3" s="5" t="s">
        <v>4</v>
      </c>
      <c r="B3" s="6">
        <v>232</v>
      </c>
      <c r="F3" t="s">
        <v>30</v>
      </c>
      <c r="H3" s="13" t="s">
        <v>36</v>
      </c>
      <c r="I3" s="13">
        <f>SUMPRODUCT(MAX((ROW($F$2:$F$25)*($F$2:$F$25&lt;&gt;""))))</f>
        <v>25</v>
      </c>
      <c r="K3" t="str">
        <f ca="1">INDIRECT(ADDRESS(I3,6))</f>
        <v>Hitesh</v>
      </c>
    </row>
    <row r="4" spans="1:11" x14ac:dyDescent="0.25">
      <c r="A4" s="3" t="s">
        <v>3</v>
      </c>
      <c r="B4" s="4">
        <v>453</v>
      </c>
    </row>
    <row r="5" spans="1:11" x14ac:dyDescent="0.25">
      <c r="A5" s="5" t="s">
        <v>5</v>
      </c>
      <c r="B5" s="6">
        <v>231</v>
      </c>
    </row>
    <row r="6" spans="1:11" x14ac:dyDescent="0.25">
      <c r="A6" s="3" t="s">
        <v>3</v>
      </c>
      <c r="B6" s="4">
        <v>124</v>
      </c>
    </row>
    <row r="7" spans="1:11" x14ac:dyDescent="0.25">
      <c r="A7" s="5" t="s">
        <v>4</v>
      </c>
      <c r="B7" s="6">
        <v>650</v>
      </c>
    </row>
    <row r="8" spans="1:11" x14ac:dyDescent="0.25">
      <c r="A8" s="3" t="s">
        <v>6</v>
      </c>
      <c r="B8" s="4">
        <v>825</v>
      </c>
      <c r="F8" t="s">
        <v>31</v>
      </c>
    </row>
    <row r="9" spans="1:11" x14ac:dyDescent="0.25">
      <c r="A9" s="5" t="s">
        <v>4</v>
      </c>
      <c r="B9" s="6">
        <v>256</v>
      </c>
      <c r="H9" t="s">
        <v>4</v>
      </c>
      <c r="I9" s="13" t="s">
        <v>23</v>
      </c>
      <c r="J9" s="13" t="s">
        <v>9</v>
      </c>
    </row>
    <row r="10" spans="1:11" ht="15.75" thickBot="1" x14ac:dyDescent="0.3">
      <c r="A10" s="7" t="s">
        <v>5</v>
      </c>
      <c r="B10" s="8">
        <v>231</v>
      </c>
      <c r="I10" s="13">
        <f t="array" ref="I10">LARGE(IF($A$2:$A$10=H9,$B$2:$B$10,""),2)</f>
        <v>256</v>
      </c>
      <c r="J10" s="13">
        <f>SUMPRODUCT(LARGE(($A$2:$A$10=H9)*($B$2:$B$10),2))</f>
        <v>256</v>
      </c>
    </row>
    <row r="12" spans="1:11" x14ac:dyDescent="0.25">
      <c r="B12" t="s">
        <v>28</v>
      </c>
      <c r="C12" s="13" t="s">
        <v>27</v>
      </c>
      <c r="D12" s="13" t="s">
        <v>9</v>
      </c>
      <c r="F12" t="s">
        <v>32</v>
      </c>
    </row>
    <row r="13" spans="1:11" x14ac:dyDescent="0.25">
      <c r="C13" s="13">
        <f>SUM(COUNTIF($A$2:$A$10,{"A","B"}))</f>
        <v>6</v>
      </c>
      <c r="D13" s="13">
        <f>SUMPRODUCT(--($A$2:$A$10={"A","B"}))</f>
        <v>6</v>
      </c>
    </row>
    <row r="15" spans="1:11" x14ac:dyDescent="0.25">
      <c r="F15" t="s">
        <v>33</v>
      </c>
    </row>
    <row r="23" spans="6:6" x14ac:dyDescent="0.25">
      <c r="F23" t="s">
        <v>34</v>
      </c>
    </row>
    <row r="25" spans="6:6" x14ac:dyDescent="0.25">
      <c r="F25" t="s">
        <v>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0"/>
  <sheetViews>
    <sheetView workbookViewId="0">
      <selection activeCell="F2" sqref="F2"/>
    </sheetView>
  </sheetViews>
  <sheetFormatPr defaultRowHeight="15" x14ac:dyDescent="0.25"/>
  <cols>
    <col min="1" max="1" width="10.42578125" bestFit="1" customWidth="1"/>
    <col min="5" max="5" width="18.7109375" bestFit="1" customWidth="1"/>
    <col min="6" max="6" width="10.42578125" bestFit="1" customWidth="1"/>
  </cols>
  <sheetData>
    <row r="1" spans="1:6" ht="21" x14ac:dyDescent="0.35">
      <c r="A1" s="18" t="s">
        <v>45</v>
      </c>
      <c r="B1" s="18" t="s">
        <v>46</v>
      </c>
      <c r="E1" s="15" t="s">
        <v>47</v>
      </c>
      <c r="F1" s="16">
        <f>SUM(B2:B30)</f>
        <v>1420.7598080936091</v>
      </c>
    </row>
    <row r="2" spans="1:6" ht="21" x14ac:dyDescent="0.35">
      <c r="A2" s="19">
        <f ca="1">TODAY()</f>
        <v>42566</v>
      </c>
      <c r="B2" s="20">
        <v>87.196583765258183</v>
      </c>
      <c r="E2" s="17" t="s">
        <v>48</v>
      </c>
      <c r="F2" s="16">
        <f ca="1">SUMPRODUCT(($A$2:$A$30&lt;=TODAY())*($A$2:$A$30&gt;=TODAY()-10)*(B2:B30))</f>
        <v>518.38065519175325</v>
      </c>
    </row>
    <row r="3" spans="1:6" x14ac:dyDescent="0.25">
      <c r="A3" s="19">
        <f ca="1">A2-1</f>
        <v>42565</v>
      </c>
      <c r="B3" s="20">
        <v>43.321598684617513</v>
      </c>
    </row>
    <row r="4" spans="1:6" x14ac:dyDescent="0.25">
      <c r="A4" s="19">
        <f t="shared" ref="A4:A30" ca="1" si="0">A3-1</f>
        <v>42564</v>
      </c>
      <c r="B4" s="20">
        <v>37.041184001122417</v>
      </c>
      <c r="E4" t="s">
        <v>49</v>
      </c>
    </row>
    <row r="5" spans="1:6" x14ac:dyDescent="0.25">
      <c r="A5" s="19">
        <f t="shared" ca="1" si="0"/>
        <v>42563</v>
      </c>
      <c r="B5" s="20">
        <v>67.600400156577138</v>
      </c>
      <c r="E5" t="s">
        <v>50</v>
      </c>
      <c r="F5" s="14">
        <f ca="1">TODAY()-11</f>
        <v>42555</v>
      </c>
    </row>
    <row r="6" spans="1:6" x14ac:dyDescent="0.25">
      <c r="A6" s="19">
        <f t="shared" ca="1" si="0"/>
        <v>42562</v>
      </c>
      <c r="B6" s="20">
        <v>75.77346797780784</v>
      </c>
      <c r="E6" t="s">
        <v>51</v>
      </c>
      <c r="F6" s="14">
        <f ca="1">TODAY()-16</f>
        <v>42550</v>
      </c>
    </row>
    <row r="7" spans="1:6" x14ac:dyDescent="0.25">
      <c r="A7" s="19">
        <f t="shared" ca="1" si="0"/>
        <v>42561</v>
      </c>
      <c r="B7" s="20">
        <v>41.081118617140611</v>
      </c>
      <c r="E7" t="s">
        <v>52</v>
      </c>
      <c r="F7">
        <f ca="1">SUMPRODUCT(($A$2:$A$30&lt;=F5)*($A$2:$A$30&gt;=F6)*(B2:B30))</f>
        <v>299.90994864446952</v>
      </c>
    </row>
    <row r="8" spans="1:6" x14ac:dyDescent="0.25">
      <c r="A8" s="19">
        <f t="shared" ca="1" si="0"/>
        <v>42560</v>
      </c>
      <c r="B8" s="20">
        <v>8.6175551802880612</v>
      </c>
    </row>
    <row r="9" spans="1:6" x14ac:dyDescent="0.25">
      <c r="A9" s="19">
        <f t="shared" ca="1" si="0"/>
        <v>42559</v>
      </c>
      <c r="B9" s="20">
        <v>30.360536954307893</v>
      </c>
    </row>
    <row r="10" spans="1:6" x14ac:dyDescent="0.25">
      <c r="A10" s="19">
        <f t="shared" ca="1" si="0"/>
        <v>42558</v>
      </c>
      <c r="B10" s="20">
        <v>66.397660138735233</v>
      </c>
    </row>
    <row r="11" spans="1:6" x14ac:dyDescent="0.25">
      <c r="A11" s="19">
        <f t="shared" ca="1" si="0"/>
        <v>42557</v>
      </c>
      <c r="B11" s="20">
        <v>54.404585600830217</v>
      </c>
    </row>
    <row r="12" spans="1:6" x14ac:dyDescent="0.25">
      <c r="A12" s="19">
        <f t="shared" ca="1" si="0"/>
        <v>42556</v>
      </c>
      <c r="B12" s="20">
        <v>6.5859641150681547</v>
      </c>
    </row>
    <row r="13" spans="1:6" x14ac:dyDescent="0.25">
      <c r="A13" s="19">
        <f t="shared" ca="1" si="0"/>
        <v>42555</v>
      </c>
      <c r="B13" s="20">
        <v>16.141999658952777</v>
      </c>
    </row>
    <row r="14" spans="1:6" x14ac:dyDescent="0.25">
      <c r="A14" s="19">
        <f t="shared" ca="1" si="0"/>
        <v>42554</v>
      </c>
      <c r="B14" s="20">
        <v>26.922314032810846</v>
      </c>
    </row>
    <row r="15" spans="1:6" x14ac:dyDescent="0.25">
      <c r="A15" s="19">
        <f t="shared" ca="1" si="0"/>
        <v>42553</v>
      </c>
      <c r="B15" s="20">
        <v>18.049241521529158</v>
      </c>
    </row>
    <row r="16" spans="1:6" x14ac:dyDescent="0.25">
      <c r="A16" s="19">
        <f t="shared" ca="1" si="0"/>
        <v>42552</v>
      </c>
      <c r="B16" s="20">
        <v>59.487365997087508</v>
      </c>
    </row>
    <row r="17" spans="1:2" x14ac:dyDescent="0.25">
      <c r="A17" s="19">
        <f t="shared" ca="1" si="0"/>
        <v>42551</v>
      </c>
      <c r="B17" s="20">
        <v>90.851651410512375</v>
      </c>
    </row>
    <row r="18" spans="1:2" x14ac:dyDescent="0.25">
      <c r="A18" s="19">
        <f t="shared" ca="1" si="0"/>
        <v>42550</v>
      </c>
      <c r="B18" s="20">
        <v>88.457376023576813</v>
      </c>
    </row>
    <row r="19" spans="1:2" x14ac:dyDescent="0.25">
      <c r="A19" s="19">
        <f t="shared" ca="1" si="0"/>
        <v>42549</v>
      </c>
      <c r="B19" s="20">
        <v>0.95761242954370829</v>
      </c>
    </row>
    <row r="20" spans="1:2" x14ac:dyDescent="0.25">
      <c r="A20" s="19">
        <f t="shared" ca="1" si="0"/>
        <v>42548</v>
      </c>
      <c r="B20" s="20">
        <v>41.290763214766478</v>
      </c>
    </row>
    <row r="21" spans="1:2" x14ac:dyDescent="0.25">
      <c r="A21" s="19">
        <f t="shared" ca="1" si="0"/>
        <v>42547</v>
      </c>
      <c r="B21" s="20">
        <v>91.508699812140762</v>
      </c>
    </row>
    <row r="22" spans="1:2" x14ac:dyDescent="0.25">
      <c r="A22" s="19">
        <f t="shared" ca="1" si="0"/>
        <v>42546</v>
      </c>
      <c r="B22" s="20">
        <v>52.113794035902082</v>
      </c>
    </row>
    <row r="23" spans="1:2" x14ac:dyDescent="0.25">
      <c r="A23" s="19">
        <f t="shared" ca="1" si="0"/>
        <v>42545</v>
      </c>
      <c r="B23" s="20">
        <v>90.433583956952916</v>
      </c>
    </row>
    <row r="24" spans="1:2" x14ac:dyDescent="0.25">
      <c r="A24" s="19">
        <f t="shared" ca="1" si="0"/>
        <v>42544</v>
      </c>
      <c r="B24" s="20">
        <v>30.843136222412504</v>
      </c>
    </row>
    <row r="25" spans="1:2" x14ac:dyDescent="0.25">
      <c r="A25" s="19">
        <f t="shared" ca="1" si="0"/>
        <v>42543</v>
      </c>
      <c r="B25" s="20">
        <v>70.533401712008896</v>
      </c>
    </row>
    <row r="26" spans="1:2" x14ac:dyDescent="0.25">
      <c r="A26" s="19">
        <f t="shared" ca="1" si="0"/>
        <v>42542</v>
      </c>
      <c r="B26" s="20">
        <v>81.718650801138267</v>
      </c>
    </row>
    <row r="27" spans="1:2" x14ac:dyDescent="0.25">
      <c r="A27" s="19">
        <f t="shared" ca="1" si="0"/>
        <v>42541</v>
      </c>
      <c r="B27" s="20">
        <v>7.4080394170754404</v>
      </c>
    </row>
    <row r="28" spans="1:2" x14ac:dyDescent="0.25">
      <c r="A28" s="19">
        <f t="shared" ca="1" si="0"/>
        <v>42540</v>
      </c>
      <c r="B28" s="20">
        <v>9.8988438553824665</v>
      </c>
    </row>
    <row r="29" spans="1:2" x14ac:dyDescent="0.25">
      <c r="A29" s="19">
        <f t="shared" ca="1" si="0"/>
        <v>42539</v>
      </c>
      <c r="B29" s="20">
        <v>78.528101135040231</v>
      </c>
    </row>
    <row r="30" spans="1:2" x14ac:dyDescent="0.25">
      <c r="A30" s="19">
        <f t="shared" ca="1" si="0"/>
        <v>42538</v>
      </c>
      <c r="B30" s="20">
        <v>47.234577665022506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03"/>
  <sheetViews>
    <sheetView workbookViewId="0">
      <selection activeCell="F3" sqref="F3"/>
    </sheetView>
  </sheetViews>
  <sheetFormatPr defaultRowHeight="15" x14ac:dyDescent="0.25"/>
  <cols>
    <col min="1" max="1" width="21.85546875" bestFit="1" customWidth="1"/>
    <col min="5" max="5" width="11.5703125" bestFit="1" customWidth="1"/>
    <col min="6" max="6" width="15.140625" bestFit="1" customWidth="1"/>
  </cols>
  <sheetData>
    <row r="1" spans="1:9" ht="15.75" thickBot="1" x14ac:dyDescent="0.3">
      <c r="A1" s="21" t="s">
        <v>53</v>
      </c>
      <c r="F1" s="28" t="s">
        <v>63</v>
      </c>
    </row>
    <row r="2" spans="1:9" ht="15.75" thickBot="1" x14ac:dyDescent="0.3">
      <c r="A2" s="22">
        <v>41045.586805555555</v>
      </c>
      <c r="E2" s="23" t="s">
        <v>54</v>
      </c>
      <c r="F2" s="24" t="s">
        <v>55</v>
      </c>
    </row>
    <row r="3" spans="1:9" x14ac:dyDescent="0.25">
      <c r="A3" s="22">
        <v>41045.730555555558</v>
      </c>
      <c r="E3" s="25" t="s">
        <v>56</v>
      </c>
      <c r="F3" s="34">
        <f>SUMPRODUCT(--(TEXT($A$2:$A$103,"dddd")=E3))</f>
        <v>3</v>
      </c>
      <c r="G3">
        <f>SUMPRODUCT(TEXT($A$2:$A$103,"dd-mm-yyyy")=A2)</f>
        <v>0</v>
      </c>
    </row>
    <row r="4" spans="1:9" x14ac:dyDescent="0.25">
      <c r="A4" s="22">
        <v>41046.551388888889</v>
      </c>
      <c r="E4" s="26" t="s">
        <v>57</v>
      </c>
      <c r="F4" s="34">
        <f t="shared" ref="F4:F9" si="0">SUMPRODUCT(--(TEXT($A$2:$A$103,"dddd")=E4))</f>
        <v>8</v>
      </c>
    </row>
    <row r="5" spans="1:9" x14ac:dyDescent="0.25">
      <c r="A5" s="22">
        <v>41051.627083333333</v>
      </c>
      <c r="E5" s="26" t="s">
        <v>58</v>
      </c>
      <c r="F5" s="34">
        <f t="shared" si="0"/>
        <v>17</v>
      </c>
    </row>
    <row r="6" spans="1:9" x14ac:dyDescent="0.25">
      <c r="A6" s="22">
        <v>41054.486805555556</v>
      </c>
      <c r="E6" s="26" t="s">
        <v>59</v>
      </c>
      <c r="F6" s="34">
        <f t="shared" si="0"/>
        <v>25</v>
      </c>
    </row>
    <row r="7" spans="1:9" x14ac:dyDescent="0.25">
      <c r="A7" s="22">
        <v>41054.598611111112</v>
      </c>
      <c r="E7" s="26" t="s">
        <v>60</v>
      </c>
      <c r="F7" s="34">
        <f t="shared" si="0"/>
        <v>23</v>
      </c>
    </row>
    <row r="8" spans="1:9" x14ac:dyDescent="0.25">
      <c r="A8" s="22">
        <v>41054.698611111111</v>
      </c>
      <c r="E8" s="26" t="s">
        <v>61</v>
      </c>
      <c r="F8" s="34">
        <f t="shared" si="0"/>
        <v>23</v>
      </c>
    </row>
    <row r="9" spans="1:9" ht="15.75" thickBot="1" x14ac:dyDescent="0.3">
      <c r="A9" s="22">
        <v>41055.698611053238</v>
      </c>
      <c r="E9" s="27" t="s">
        <v>62</v>
      </c>
      <c r="F9" s="34">
        <f t="shared" si="0"/>
        <v>3</v>
      </c>
    </row>
    <row r="10" spans="1:9" x14ac:dyDescent="0.25">
      <c r="A10" s="22">
        <v>41056.698610937499</v>
      </c>
    </row>
    <row r="11" spans="1:9" x14ac:dyDescent="0.25">
      <c r="A11" s="22">
        <v>41057.698610879626</v>
      </c>
    </row>
    <row r="12" spans="1:9" x14ac:dyDescent="0.25">
      <c r="A12" s="22">
        <v>41058.698610821761</v>
      </c>
    </row>
    <row r="13" spans="1:9" ht="18" thickBot="1" x14ac:dyDescent="0.35">
      <c r="A13" s="22">
        <v>41059.698610763888</v>
      </c>
      <c r="F13" s="47" t="s">
        <v>89</v>
      </c>
      <c r="G13" s="48" t="s">
        <v>90</v>
      </c>
      <c r="H13" s="48" t="s">
        <v>91</v>
      </c>
      <c r="I13" s="48" t="s">
        <v>92</v>
      </c>
    </row>
    <row r="14" spans="1:9" ht="15.75" thickTop="1" x14ac:dyDescent="0.25">
      <c r="A14" s="22">
        <v>41060.698610706022</v>
      </c>
      <c r="F14" t="s">
        <v>93</v>
      </c>
      <c r="G14" s="49">
        <v>28</v>
      </c>
      <c r="H14" s="50">
        <v>4</v>
      </c>
      <c r="I14" s="51">
        <v>0.66</v>
      </c>
    </row>
    <row r="15" spans="1:9" x14ac:dyDescent="0.25">
      <c r="A15" s="22">
        <v>41061.698610648149</v>
      </c>
      <c r="F15" s="52" t="s">
        <v>94</v>
      </c>
      <c r="G15" s="53">
        <v>21</v>
      </c>
      <c r="H15" s="54">
        <v>3</v>
      </c>
      <c r="I15" s="55">
        <v>0.55000000000000004</v>
      </c>
    </row>
    <row r="16" spans="1:9" x14ac:dyDescent="0.25">
      <c r="A16" s="22">
        <v>41062.698610590276</v>
      </c>
      <c r="F16" t="s">
        <v>95</v>
      </c>
      <c r="G16" s="49">
        <v>32</v>
      </c>
      <c r="H16" s="50">
        <v>3</v>
      </c>
      <c r="I16" s="51">
        <v>0.71</v>
      </c>
    </row>
    <row r="17" spans="1:9" x14ac:dyDescent="0.25">
      <c r="A17" s="22">
        <v>41063.69861053241</v>
      </c>
      <c r="F17" s="52" t="s">
        <v>96</v>
      </c>
      <c r="G17" s="53">
        <v>12</v>
      </c>
      <c r="H17" s="54">
        <v>9</v>
      </c>
      <c r="I17" s="55">
        <v>0.7</v>
      </c>
    </row>
    <row r="18" spans="1:9" x14ac:dyDescent="0.25">
      <c r="A18" s="22">
        <v>41064.698610474537</v>
      </c>
      <c r="F18" t="s">
        <v>97</v>
      </c>
      <c r="G18" s="49">
        <v>21</v>
      </c>
      <c r="H18" s="50">
        <v>2</v>
      </c>
      <c r="I18" s="51">
        <v>0.69</v>
      </c>
    </row>
    <row r="19" spans="1:9" x14ac:dyDescent="0.25">
      <c r="A19" s="22">
        <v>41065.698610416664</v>
      </c>
      <c r="F19" s="52" t="s">
        <v>98</v>
      </c>
      <c r="G19" s="53">
        <v>47</v>
      </c>
      <c r="H19" s="54">
        <v>6</v>
      </c>
      <c r="I19" s="55">
        <v>0.59</v>
      </c>
    </row>
    <row r="20" spans="1:9" x14ac:dyDescent="0.25">
      <c r="A20" s="22">
        <v>41066.698610358799</v>
      </c>
      <c r="F20" t="s">
        <v>99</v>
      </c>
      <c r="G20" s="49">
        <v>31</v>
      </c>
      <c r="H20" s="50">
        <v>3</v>
      </c>
      <c r="I20" s="51">
        <v>0.68</v>
      </c>
    </row>
    <row r="21" spans="1:9" x14ac:dyDescent="0.25">
      <c r="A21" s="22">
        <v>41067.698610300926</v>
      </c>
      <c r="F21" s="52" t="s">
        <v>100</v>
      </c>
      <c r="G21" s="53">
        <v>27</v>
      </c>
      <c r="H21" s="54">
        <v>7</v>
      </c>
      <c r="I21" s="55">
        <v>0.76</v>
      </c>
    </row>
    <row r="22" spans="1:9" x14ac:dyDescent="0.25">
      <c r="A22" s="22">
        <v>41068.698610243053</v>
      </c>
      <c r="F22" t="s">
        <v>101</v>
      </c>
      <c r="G22" s="49">
        <v>55</v>
      </c>
      <c r="H22" s="50">
        <v>7</v>
      </c>
      <c r="I22" s="51">
        <v>0.67</v>
      </c>
    </row>
    <row r="23" spans="1:9" x14ac:dyDescent="0.25">
      <c r="A23" s="22">
        <v>41069.698610185187</v>
      </c>
      <c r="F23" s="52" t="s">
        <v>102</v>
      </c>
      <c r="G23" s="53">
        <v>14</v>
      </c>
      <c r="H23" s="54">
        <v>4</v>
      </c>
      <c r="I23" s="55">
        <v>0.75</v>
      </c>
    </row>
    <row r="24" spans="1:9" ht="15.75" thickBot="1" x14ac:dyDescent="0.3">
      <c r="A24" s="22">
        <v>41070.698610127314</v>
      </c>
      <c r="F24" s="56" t="s">
        <v>103</v>
      </c>
      <c r="G24" s="56"/>
      <c r="H24" s="56"/>
      <c r="I24" s="57">
        <f>SUMPRODUCT($G$14:$G$23,$H$14:$H$23,$I$14:$I$23)</f>
        <v>954.52</v>
      </c>
    </row>
    <row r="25" spans="1:9" ht="15.75" thickTop="1" x14ac:dyDescent="0.25">
      <c r="A25" s="22">
        <v>41067.429861111108</v>
      </c>
    </row>
    <row r="26" spans="1:9" x14ac:dyDescent="0.25">
      <c r="A26" s="22">
        <v>41067.65625</v>
      </c>
    </row>
    <row r="27" spans="1:9" x14ac:dyDescent="0.25">
      <c r="A27" s="22">
        <v>41068.413194444445</v>
      </c>
    </row>
    <row r="28" spans="1:9" x14ac:dyDescent="0.25">
      <c r="A28" s="22">
        <v>41068.635416666664</v>
      </c>
    </row>
    <row r="29" spans="1:9" x14ac:dyDescent="0.25">
      <c r="A29" s="22">
        <v>41068.881249999999</v>
      </c>
    </row>
    <row r="30" spans="1:9" x14ac:dyDescent="0.25">
      <c r="A30" s="22">
        <v>41071.659722222219</v>
      </c>
    </row>
    <row r="31" spans="1:9" x14ac:dyDescent="0.25">
      <c r="A31" s="22">
        <v>41071.905555555553</v>
      </c>
    </row>
    <row r="32" spans="1:9" x14ac:dyDescent="0.25">
      <c r="A32" s="22">
        <v>41072.420138888891</v>
      </c>
    </row>
    <row r="33" spans="1:1" x14ac:dyDescent="0.25">
      <c r="A33" s="22">
        <v>41073.438888888886</v>
      </c>
    </row>
    <row r="34" spans="1:1" x14ac:dyDescent="0.25">
      <c r="A34" s="22">
        <v>41073.987500000003</v>
      </c>
    </row>
    <row r="35" spans="1:1" x14ac:dyDescent="0.25">
      <c r="A35" s="22">
        <v>41074.101388888892</v>
      </c>
    </row>
    <row r="36" spans="1:1" x14ac:dyDescent="0.25">
      <c r="A36" s="22">
        <v>41075.14166666667</v>
      </c>
    </row>
    <row r="37" spans="1:1" x14ac:dyDescent="0.25">
      <c r="A37" s="22">
        <v>41075.54791666667</v>
      </c>
    </row>
    <row r="38" spans="1:1" x14ac:dyDescent="0.25">
      <c r="A38" s="22">
        <v>41079.522916666669</v>
      </c>
    </row>
    <row r="39" spans="1:1" x14ac:dyDescent="0.25">
      <c r="A39" s="22">
        <v>41079.584722222222</v>
      </c>
    </row>
    <row r="40" spans="1:1" x14ac:dyDescent="0.25">
      <c r="A40" s="22">
        <v>41079.6875</v>
      </c>
    </row>
    <row r="41" spans="1:1" x14ac:dyDescent="0.25">
      <c r="A41" s="22">
        <v>41080.100694444445</v>
      </c>
    </row>
    <row r="42" spans="1:1" x14ac:dyDescent="0.25">
      <c r="A42" s="22">
        <v>41080.367361111108</v>
      </c>
    </row>
    <row r="43" spans="1:1" x14ac:dyDescent="0.25">
      <c r="A43" s="22">
        <v>41080.500694444447</v>
      </c>
    </row>
    <row r="44" spans="1:1" x14ac:dyDescent="0.25">
      <c r="A44" s="22">
        <v>41080.713888888888</v>
      </c>
    </row>
    <row r="45" spans="1:1" x14ac:dyDescent="0.25">
      <c r="A45" s="22">
        <v>41080.71597222222</v>
      </c>
    </row>
    <row r="46" spans="1:1" x14ac:dyDescent="0.25">
      <c r="A46" s="22">
        <v>41081.447222222225</v>
      </c>
    </row>
    <row r="47" spans="1:1" x14ac:dyDescent="0.25">
      <c r="A47" s="22">
        <v>41082.504861111112</v>
      </c>
    </row>
    <row r="48" spans="1:1" x14ac:dyDescent="0.25">
      <c r="A48" s="22">
        <v>41043.843055555553</v>
      </c>
    </row>
    <row r="49" spans="1:1" x14ac:dyDescent="0.25">
      <c r="A49" s="22">
        <v>41044.660416666666</v>
      </c>
    </row>
    <row r="50" spans="1:1" x14ac:dyDescent="0.25">
      <c r="A50" s="22">
        <v>41045.521527777775</v>
      </c>
    </row>
    <row r="51" spans="1:1" x14ac:dyDescent="0.25">
      <c r="A51" s="22">
        <v>41045.902083333334</v>
      </c>
    </row>
    <row r="52" spans="1:1" x14ac:dyDescent="0.25">
      <c r="A52" s="22">
        <v>41047.3125</v>
      </c>
    </row>
    <row r="53" spans="1:1" x14ac:dyDescent="0.25">
      <c r="A53" s="22">
        <v>41047.698611111111</v>
      </c>
    </row>
    <row r="54" spans="1:1" x14ac:dyDescent="0.25">
      <c r="A54" s="22">
        <v>41050.827777777777</v>
      </c>
    </row>
    <row r="55" spans="1:1" x14ac:dyDescent="0.25">
      <c r="A55" s="22">
        <v>41051.523611111108</v>
      </c>
    </row>
    <row r="56" spans="1:1" x14ac:dyDescent="0.25">
      <c r="A56" s="22">
        <v>41052.381944444445</v>
      </c>
    </row>
    <row r="57" spans="1:1" x14ac:dyDescent="0.25">
      <c r="A57" s="22">
        <v>41052.517361111109</v>
      </c>
    </row>
    <row r="58" spans="1:1" x14ac:dyDescent="0.25">
      <c r="A58" s="22">
        <v>41052.669444444444</v>
      </c>
    </row>
    <row r="59" spans="1:1" x14ac:dyDescent="0.25">
      <c r="A59" s="22">
        <v>41052.736805555556</v>
      </c>
    </row>
    <row r="60" spans="1:1" x14ac:dyDescent="0.25">
      <c r="A60" s="22">
        <v>41052.818055555559</v>
      </c>
    </row>
    <row r="61" spans="1:1" x14ac:dyDescent="0.25">
      <c r="A61" s="22">
        <v>41053.418055555558</v>
      </c>
    </row>
    <row r="62" spans="1:1" x14ac:dyDescent="0.25">
      <c r="A62" s="22">
        <v>41053.647916666669</v>
      </c>
    </row>
    <row r="63" spans="1:1" x14ac:dyDescent="0.25">
      <c r="A63" s="22">
        <v>41053.672222222223</v>
      </c>
    </row>
    <row r="64" spans="1:1" x14ac:dyDescent="0.25">
      <c r="A64" s="22">
        <v>41053.692361111112</v>
      </c>
    </row>
    <row r="65" spans="1:1" x14ac:dyDescent="0.25">
      <c r="A65" s="22">
        <v>41053.698611111111</v>
      </c>
    </row>
    <row r="66" spans="1:1" x14ac:dyDescent="0.25">
      <c r="A66" s="22">
        <v>41054.751388888886</v>
      </c>
    </row>
    <row r="67" spans="1:1" x14ac:dyDescent="0.25">
      <c r="A67" s="22">
        <v>41054.809027777781</v>
      </c>
    </row>
    <row r="68" spans="1:1" x14ac:dyDescent="0.25">
      <c r="A68" s="22">
        <v>41058.48541666667</v>
      </c>
    </row>
    <row r="69" spans="1:1" x14ac:dyDescent="0.25">
      <c r="A69" s="22">
        <v>41058.524305555555</v>
      </c>
    </row>
    <row r="70" spans="1:1" x14ac:dyDescent="0.25">
      <c r="A70" s="22">
        <v>41058.651388888888</v>
      </c>
    </row>
    <row r="71" spans="1:1" x14ac:dyDescent="0.25">
      <c r="A71" s="22">
        <v>41059.286111111112</v>
      </c>
    </row>
    <row r="72" spans="1:1" x14ac:dyDescent="0.25">
      <c r="A72" s="22">
        <v>41059.402083333334</v>
      </c>
    </row>
    <row r="73" spans="1:1" x14ac:dyDescent="0.25">
      <c r="A73" s="22">
        <v>41059.73333333333</v>
      </c>
    </row>
    <row r="74" spans="1:1" x14ac:dyDescent="0.25">
      <c r="A74" s="22">
        <v>41060.359027777777</v>
      </c>
    </row>
    <row r="75" spans="1:1" x14ac:dyDescent="0.25">
      <c r="A75" s="22">
        <v>41060.498611111114</v>
      </c>
    </row>
    <row r="76" spans="1:1" x14ac:dyDescent="0.25">
      <c r="A76" s="22">
        <v>41060.699305555558</v>
      </c>
    </row>
    <row r="77" spans="1:1" x14ac:dyDescent="0.25">
      <c r="A77" s="22">
        <v>41060.742361111108</v>
      </c>
    </row>
    <row r="78" spans="1:1" x14ac:dyDescent="0.25">
      <c r="A78" s="22">
        <v>41060.820138888892</v>
      </c>
    </row>
    <row r="79" spans="1:1" x14ac:dyDescent="0.25">
      <c r="A79" s="22">
        <v>41061.585416666669</v>
      </c>
    </row>
    <row r="80" spans="1:1" x14ac:dyDescent="0.25">
      <c r="A80" s="22">
        <v>41061.731249999997</v>
      </c>
    </row>
    <row r="81" spans="1:1" x14ac:dyDescent="0.25">
      <c r="A81" s="22">
        <v>41061.76666666667</v>
      </c>
    </row>
    <row r="82" spans="1:1" x14ac:dyDescent="0.25">
      <c r="A82" s="22">
        <v>41064.678472222222</v>
      </c>
    </row>
    <row r="83" spans="1:1" x14ac:dyDescent="0.25">
      <c r="A83" s="22">
        <v>41065.068055555559</v>
      </c>
    </row>
    <row r="84" spans="1:1" x14ac:dyDescent="0.25">
      <c r="A84" s="22">
        <v>41065.604861111111</v>
      </c>
    </row>
    <row r="85" spans="1:1" x14ac:dyDescent="0.25">
      <c r="A85" s="22">
        <v>41065.724305555559</v>
      </c>
    </row>
    <row r="86" spans="1:1" x14ac:dyDescent="0.25">
      <c r="A86" s="22">
        <v>41066.490972222222</v>
      </c>
    </row>
    <row r="87" spans="1:1" x14ac:dyDescent="0.25">
      <c r="A87" s="22">
        <v>41066.61041666667</v>
      </c>
    </row>
    <row r="88" spans="1:1" x14ac:dyDescent="0.25">
      <c r="A88" s="22">
        <v>41066.734722222223</v>
      </c>
    </row>
    <row r="89" spans="1:1" x14ac:dyDescent="0.25">
      <c r="A89" s="22">
        <v>41067.497916666667</v>
      </c>
    </row>
    <row r="90" spans="1:1" x14ac:dyDescent="0.25">
      <c r="A90" s="22">
        <v>41068.116666666669</v>
      </c>
    </row>
    <row r="91" spans="1:1" x14ac:dyDescent="0.25">
      <c r="A91" s="22">
        <v>41068.272916666669</v>
      </c>
    </row>
    <row r="92" spans="1:1" x14ac:dyDescent="0.25">
      <c r="A92" s="22">
        <v>41071.700694444444</v>
      </c>
    </row>
    <row r="93" spans="1:1" x14ac:dyDescent="0.25">
      <c r="A93" s="22">
        <v>41074.851388888892</v>
      </c>
    </row>
    <row r="94" spans="1:1" x14ac:dyDescent="0.25">
      <c r="A94" s="22">
        <v>41075.354861111111</v>
      </c>
    </row>
    <row r="95" spans="1:1" x14ac:dyDescent="0.25">
      <c r="A95" s="22">
        <v>41075.463194444441</v>
      </c>
    </row>
    <row r="96" spans="1:1" x14ac:dyDescent="0.25">
      <c r="A96" s="22">
        <v>41079.800000000003</v>
      </c>
    </row>
    <row r="97" spans="1:1" x14ac:dyDescent="0.25">
      <c r="A97" s="22">
        <v>41080.398611111108</v>
      </c>
    </row>
    <row r="98" spans="1:1" x14ac:dyDescent="0.25">
      <c r="A98" s="22">
        <v>41081.615277777775</v>
      </c>
    </row>
    <row r="99" spans="1:1" x14ac:dyDescent="0.25">
      <c r="A99" s="22">
        <v>41046.354166666664</v>
      </c>
    </row>
    <row r="100" spans="1:1" x14ac:dyDescent="0.25">
      <c r="A100" s="22">
        <v>41053.247916666667</v>
      </c>
    </row>
    <row r="101" spans="1:1" x14ac:dyDescent="0.25">
      <c r="A101" s="22">
        <v>41053.506249999999</v>
      </c>
    </row>
    <row r="102" spans="1:1" x14ac:dyDescent="0.25">
      <c r="A102" s="22">
        <v>41079.390972222223</v>
      </c>
    </row>
    <row r="103" spans="1:1" x14ac:dyDescent="0.25">
      <c r="A103" s="22">
        <v>41082.435416666667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20"/>
  <sheetViews>
    <sheetView workbookViewId="0">
      <selection activeCell="G14" sqref="G14"/>
    </sheetView>
  </sheetViews>
  <sheetFormatPr defaultRowHeight="15" x14ac:dyDescent="0.25"/>
  <cols>
    <col min="1" max="1" width="8.85546875" bestFit="1" customWidth="1"/>
    <col min="2" max="5" width="9.7109375" bestFit="1" customWidth="1"/>
    <col min="6" max="6" width="12.7109375" bestFit="1" customWidth="1"/>
    <col min="7" max="7" width="10.7109375" bestFit="1" customWidth="1"/>
    <col min="8" max="16" width="9.7109375" bestFit="1" customWidth="1"/>
  </cols>
  <sheetData>
    <row r="1" spans="1:16" x14ac:dyDescent="0.25">
      <c r="A1" s="13" t="s">
        <v>0</v>
      </c>
      <c r="B1" s="29">
        <v>40513</v>
      </c>
      <c r="C1" s="29">
        <f>B1+1</f>
        <v>40514</v>
      </c>
      <c r="D1" s="29">
        <f t="shared" ref="D1:P1" si="0">C1+1</f>
        <v>40515</v>
      </c>
      <c r="E1" s="29">
        <f t="shared" si="0"/>
        <v>40516</v>
      </c>
      <c r="F1" s="29">
        <f t="shared" si="0"/>
        <v>40517</v>
      </c>
      <c r="G1" s="29">
        <f t="shared" si="0"/>
        <v>40518</v>
      </c>
      <c r="H1" s="29">
        <f t="shared" si="0"/>
        <v>40519</v>
      </c>
      <c r="I1" s="29">
        <f t="shared" si="0"/>
        <v>40520</v>
      </c>
      <c r="J1" s="29">
        <f t="shared" si="0"/>
        <v>40521</v>
      </c>
      <c r="K1" s="29">
        <f t="shared" si="0"/>
        <v>40522</v>
      </c>
      <c r="L1" s="29">
        <f t="shared" si="0"/>
        <v>40523</v>
      </c>
      <c r="M1" s="29">
        <f t="shared" si="0"/>
        <v>40524</v>
      </c>
      <c r="N1" s="29">
        <f t="shared" si="0"/>
        <v>40525</v>
      </c>
      <c r="O1" s="29">
        <f t="shared" si="0"/>
        <v>40526</v>
      </c>
      <c r="P1" s="29">
        <f t="shared" si="0"/>
        <v>40527</v>
      </c>
    </row>
    <row r="2" spans="1:16" x14ac:dyDescent="0.25">
      <c r="A2" s="13" t="s">
        <v>54</v>
      </c>
      <c r="B2" s="13" t="s">
        <v>64</v>
      </c>
      <c r="C2" s="13" t="s">
        <v>65</v>
      </c>
      <c r="D2" s="13" t="s">
        <v>66</v>
      </c>
      <c r="E2" s="13" t="s">
        <v>67</v>
      </c>
      <c r="F2" s="13" t="s">
        <v>68</v>
      </c>
      <c r="G2" s="13" t="s">
        <v>69</v>
      </c>
      <c r="H2" s="13" t="s">
        <v>70</v>
      </c>
      <c r="I2" s="13" t="s">
        <v>64</v>
      </c>
      <c r="J2" s="13" t="s">
        <v>65</v>
      </c>
      <c r="K2" s="13" t="s">
        <v>66</v>
      </c>
      <c r="L2" s="13" t="s">
        <v>67</v>
      </c>
      <c r="M2" s="13" t="s">
        <v>68</v>
      </c>
      <c r="N2" s="13" t="s">
        <v>69</v>
      </c>
      <c r="O2" s="13" t="s">
        <v>70</v>
      </c>
      <c r="P2" s="13" t="s">
        <v>64</v>
      </c>
    </row>
    <row r="3" spans="1:16" x14ac:dyDescent="0.25">
      <c r="A3" s="13" t="s">
        <v>71</v>
      </c>
      <c r="B3" s="13" t="s">
        <v>79</v>
      </c>
      <c r="C3" s="13" t="s">
        <v>72</v>
      </c>
      <c r="D3" s="13" t="s">
        <v>72</v>
      </c>
      <c r="E3" s="30" t="s">
        <v>79</v>
      </c>
      <c r="F3" s="13" t="s">
        <v>72</v>
      </c>
      <c r="G3" s="13" t="s">
        <v>72</v>
      </c>
      <c r="H3" s="13" t="s">
        <v>72</v>
      </c>
      <c r="I3" s="13" t="s">
        <v>72</v>
      </c>
      <c r="J3" s="13" t="s">
        <v>79</v>
      </c>
      <c r="K3" s="13" t="s">
        <v>72</v>
      </c>
      <c r="L3" s="30" t="s">
        <v>79</v>
      </c>
      <c r="M3" s="13" t="s">
        <v>72</v>
      </c>
      <c r="N3" s="13" t="s">
        <v>79</v>
      </c>
      <c r="O3" s="13" t="s">
        <v>72</v>
      </c>
      <c r="P3" s="13" t="s">
        <v>79</v>
      </c>
    </row>
    <row r="4" spans="1:16" x14ac:dyDescent="0.25">
      <c r="A4" s="13" t="s">
        <v>73</v>
      </c>
      <c r="B4" s="13" t="s">
        <v>79</v>
      </c>
      <c r="C4" s="13" t="s">
        <v>79</v>
      </c>
      <c r="D4" s="13" t="s">
        <v>72</v>
      </c>
      <c r="E4" s="30" t="s">
        <v>79</v>
      </c>
      <c r="F4" s="13" t="s">
        <v>79</v>
      </c>
      <c r="G4" s="13" t="s">
        <v>79</v>
      </c>
      <c r="H4" s="13" t="s">
        <v>72</v>
      </c>
      <c r="I4" s="13" t="s">
        <v>79</v>
      </c>
      <c r="J4" s="13" t="s">
        <v>79</v>
      </c>
      <c r="K4" s="13" t="s">
        <v>72</v>
      </c>
      <c r="L4" s="30" t="s">
        <v>79</v>
      </c>
      <c r="M4" s="13" t="s">
        <v>72</v>
      </c>
      <c r="N4" s="13" t="s">
        <v>79</v>
      </c>
      <c r="O4" s="13" t="s">
        <v>72</v>
      </c>
      <c r="P4" s="13" t="s">
        <v>79</v>
      </c>
    </row>
    <row r="5" spans="1:16" x14ac:dyDescent="0.25">
      <c r="A5" s="13" t="s">
        <v>74</v>
      </c>
      <c r="B5" s="13" t="s">
        <v>72</v>
      </c>
      <c r="C5" s="13" t="s">
        <v>72</v>
      </c>
      <c r="D5" s="13" t="s">
        <v>72</v>
      </c>
      <c r="E5" s="30" t="s">
        <v>79</v>
      </c>
      <c r="F5" s="13" t="s">
        <v>72</v>
      </c>
      <c r="G5" s="13" t="s">
        <v>72</v>
      </c>
      <c r="H5" s="13" t="s">
        <v>72</v>
      </c>
      <c r="I5" s="13" t="s">
        <v>72</v>
      </c>
      <c r="J5" s="13" t="s">
        <v>72</v>
      </c>
      <c r="K5" s="13" t="s">
        <v>72</v>
      </c>
      <c r="L5" s="30" t="s">
        <v>79</v>
      </c>
      <c r="M5" s="13" t="s">
        <v>72</v>
      </c>
      <c r="N5" s="13" t="s">
        <v>79</v>
      </c>
      <c r="O5" s="13" t="s">
        <v>79</v>
      </c>
      <c r="P5" s="13" t="s">
        <v>79</v>
      </c>
    </row>
    <row r="6" spans="1:16" x14ac:dyDescent="0.25">
      <c r="A6" s="13" t="s">
        <v>75</v>
      </c>
      <c r="B6" s="13" t="s">
        <v>72</v>
      </c>
      <c r="C6" s="13" t="s">
        <v>72</v>
      </c>
      <c r="D6" s="13" t="s">
        <v>72</v>
      </c>
      <c r="E6" s="30" t="s">
        <v>79</v>
      </c>
      <c r="F6" s="13" t="s">
        <v>79</v>
      </c>
      <c r="G6" s="13" t="s">
        <v>72</v>
      </c>
      <c r="H6" s="13" t="s">
        <v>72</v>
      </c>
      <c r="I6" s="13" t="s">
        <v>72</v>
      </c>
      <c r="J6" s="13" t="s">
        <v>72</v>
      </c>
      <c r="K6" s="13" t="s">
        <v>72</v>
      </c>
      <c r="L6" s="30" t="s">
        <v>79</v>
      </c>
      <c r="M6" s="13" t="s">
        <v>72</v>
      </c>
      <c r="N6" s="13" t="s">
        <v>79</v>
      </c>
      <c r="O6" s="13" t="s">
        <v>79</v>
      </c>
      <c r="P6" s="13" t="s">
        <v>79</v>
      </c>
    </row>
    <row r="7" spans="1:16" x14ac:dyDescent="0.25">
      <c r="A7" s="13" t="s">
        <v>76</v>
      </c>
      <c r="B7" s="13" t="s">
        <v>79</v>
      </c>
      <c r="C7" s="13" t="s">
        <v>79</v>
      </c>
      <c r="D7" s="13" t="s">
        <v>72</v>
      </c>
      <c r="E7" s="30" t="s">
        <v>79</v>
      </c>
      <c r="F7" s="13" t="s">
        <v>72</v>
      </c>
      <c r="G7" s="13" t="s">
        <v>79</v>
      </c>
      <c r="H7" s="13" t="s">
        <v>72</v>
      </c>
      <c r="I7" s="13" t="s">
        <v>79</v>
      </c>
      <c r="J7" s="13" t="s">
        <v>79</v>
      </c>
      <c r="K7" s="13" t="s">
        <v>72</v>
      </c>
      <c r="L7" s="30" t="s">
        <v>79</v>
      </c>
      <c r="M7" s="13" t="s">
        <v>72</v>
      </c>
      <c r="N7" s="13" t="s">
        <v>79</v>
      </c>
      <c r="O7" s="13" t="s">
        <v>72</v>
      </c>
      <c r="P7" s="13" t="s">
        <v>79</v>
      </c>
    </row>
    <row r="12" spans="1:16" x14ac:dyDescent="0.25">
      <c r="K12" s="31" t="s">
        <v>0</v>
      </c>
      <c r="L12" s="31" t="s">
        <v>1</v>
      </c>
    </row>
    <row r="13" spans="1:16" x14ac:dyDescent="0.25">
      <c r="E13" s="10"/>
      <c r="F13" s="10" t="s">
        <v>77</v>
      </c>
      <c r="G13" s="10" t="s">
        <v>78</v>
      </c>
      <c r="K13" s="10" t="s">
        <v>80</v>
      </c>
      <c r="L13" s="10">
        <v>111</v>
      </c>
    </row>
    <row r="14" spans="1:16" x14ac:dyDescent="0.25">
      <c r="E14" s="10" t="s">
        <v>71</v>
      </c>
      <c r="F14" s="13">
        <f>SUMPRODUCT(($A$3:$A$7=E14)*($B$3:$P$7="P"))</f>
        <v>6</v>
      </c>
      <c r="G14" s="13">
        <f>SUMPRODUCT(($A$3:$A$7=E14)*($B$3:$P$7="L"))</f>
        <v>9</v>
      </c>
      <c r="K14" s="10" t="s">
        <v>74</v>
      </c>
      <c r="L14" s="10">
        <v>222</v>
      </c>
    </row>
    <row r="15" spans="1:16" x14ac:dyDescent="0.25">
      <c r="E15" s="10" t="s">
        <v>73</v>
      </c>
      <c r="F15" s="13">
        <f t="shared" ref="F15:F18" si="1">SUMPRODUCT(($A$3:$A$7=E15)*($B$3:$P$7="P"))</f>
        <v>10</v>
      </c>
      <c r="G15" s="13">
        <f t="shared" ref="G15:G18" si="2">SUMPRODUCT(($A$3:$A$7=E15)*($B$3:$P$7="L"))</f>
        <v>5</v>
      </c>
      <c r="K15" s="10" t="s">
        <v>73</v>
      </c>
      <c r="L15" s="10">
        <v>333</v>
      </c>
    </row>
    <row r="16" spans="1:16" x14ac:dyDescent="0.25">
      <c r="E16" s="10" t="s">
        <v>71</v>
      </c>
      <c r="F16" s="13">
        <f t="shared" si="1"/>
        <v>6</v>
      </c>
      <c r="G16" s="13">
        <f t="shared" si="2"/>
        <v>9</v>
      </c>
      <c r="K16" s="10" t="s">
        <v>75</v>
      </c>
      <c r="L16" s="10">
        <v>444</v>
      </c>
    </row>
    <row r="17" spans="5:12" x14ac:dyDescent="0.25">
      <c r="E17" s="10" t="s">
        <v>74</v>
      </c>
      <c r="F17" s="13">
        <f t="shared" si="1"/>
        <v>5</v>
      </c>
      <c r="G17" s="13">
        <f t="shared" si="2"/>
        <v>10</v>
      </c>
      <c r="L17" s="10">
        <v>555</v>
      </c>
    </row>
    <row r="18" spans="5:12" x14ac:dyDescent="0.25">
      <c r="E18" s="10" t="s">
        <v>76</v>
      </c>
      <c r="F18" s="13">
        <f t="shared" si="1"/>
        <v>9</v>
      </c>
      <c r="G18" s="13">
        <f t="shared" si="2"/>
        <v>6</v>
      </c>
    </row>
    <row r="20" spans="5:12" x14ac:dyDescent="0.25">
      <c r="K20" s="32">
        <v>333</v>
      </c>
      <c r="L20" t="str">
        <f>INDEX($K$13:$K$16,MATCH(K20,$L$13:$L$17,0))</f>
        <v>Anand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I93"/>
  <sheetViews>
    <sheetView workbookViewId="0">
      <selection activeCell="G10" sqref="G10"/>
    </sheetView>
  </sheetViews>
  <sheetFormatPr defaultRowHeight="15" x14ac:dyDescent="0.25"/>
  <cols>
    <col min="1" max="1" width="10.42578125" bestFit="1" customWidth="1"/>
    <col min="2" max="2" width="10.5703125" bestFit="1" customWidth="1"/>
    <col min="6" max="6" width="48.5703125" bestFit="1" customWidth="1"/>
    <col min="7" max="7" width="13.28515625" bestFit="1" customWidth="1"/>
  </cols>
  <sheetData>
    <row r="2" spans="1:9" x14ac:dyDescent="0.25">
      <c r="A2" s="35" t="s">
        <v>45</v>
      </c>
      <c r="B2" s="36" t="s">
        <v>81</v>
      </c>
      <c r="F2" s="41" t="s">
        <v>82</v>
      </c>
    </row>
    <row r="3" spans="1:9" x14ac:dyDescent="0.25">
      <c r="A3" s="37">
        <v>40722</v>
      </c>
      <c r="B3" s="38">
        <v>7364.5</v>
      </c>
      <c r="F3" t="s">
        <v>83</v>
      </c>
      <c r="G3" s="44">
        <v>40756</v>
      </c>
      <c r="I3">
        <f>IF(G3="",A3,G3)</f>
        <v>40756</v>
      </c>
    </row>
    <row r="4" spans="1:9" x14ac:dyDescent="0.25">
      <c r="A4" s="39">
        <v>40723</v>
      </c>
      <c r="B4" s="40">
        <v>6470.5</v>
      </c>
      <c r="F4" t="s">
        <v>84</v>
      </c>
      <c r="G4" s="44">
        <v>40799</v>
      </c>
      <c r="I4">
        <f>IF(G4="",A3,G4)</f>
        <v>40799</v>
      </c>
    </row>
    <row r="5" spans="1:9" x14ac:dyDescent="0.25">
      <c r="A5" s="37">
        <v>40724</v>
      </c>
      <c r="B5" s="38">
        <v>6442</v>
      </c>
    </row>
    <row r="6" spans="1:9" x14ac:dyDescent="0.25">
      <c r="A6" s="39">
        <v>40725</v>
      </c>
      <c r="B6" s="40">
        <v>7363</v>
      </c>
      <c r="F6" t="s">
        <v>85</v>
      </c>
      <c r="G6" s="45">
        <f>SUMIFS($B$3:$B$93,$A$3:$A$93,"&gt;="&amp;$G$3,$A$3:$A$93,"&lt;="&amp;$G$4)</f>
        <v>269472</v>
      </c>
    </row>
    <row r="7" spans="1:9" x14ac:dyDescent="0.25">
      <c r="A7" s="37">
        <v>40726</v>
      </c>
      <c r="B7" s="38">
        <v>6185.5</v>
      </c>
    </row>
    <row r="8" spans="1:9" x14ac:dyDescent="0.25">
      <c r="A8" s="39">
        <v>40727</v>
      </c>
      <c r="B8" s="40">
        <v>6391.5</v>
      </c>
      <c r="F8" s="41" t="s">
        <v>86</v>
      </c>
    </row>
    <row r="9" spans="1:9" x14ac:dyDescent="0.25">
      <c r="A9" s="37">
        <v>40728</v>
      </c>
      <c r="B9" s="38">
        <v>6814.5</v>
      </c>
    </row>
    <row r="10" spans="1:9" x14ac:dyDescent="0.25">
      <c r="A10" s="39">
        <v>40729</v>
      </c>
      <c r="B10" s="40">
        <v>5616.5</v>
      </c>
      <c r="F10" s="42" t="s">
        <v>87</v>
      </c>
      <c r="G10" s="46">
        <f>SUMPRODUCT(($A$3:$A$93&gt;=$I$3)*($A$3:$A$93&lt;=$I$4),$B$3:$B$93)</f>
        <v>269472</v>
      </c>
    </row>
    <row r="11" spans="1:9" x14ac:dyDescent="0.25">
      <c r="A11" s="37">
        <v>40730</v>
      </c>
      <c r="B11" s="38">
        <v>5535</v>
      </c>
      <c r="F11" s="42"/>
    </row>
    <row r="12" spans="1:9" x14ac:dyDescent="0.25">
      <c r="A12" s="39">
        <v>40731</v>
      </c>
      <c r="B12" s="40">
        <v>7194</v>
      </c>
      <c r="F12" s="42" t="s">
        <v>88</v>
      </c>
      <c r="G12" s="43"/>
    </row>
    <row r="13" spans="1:9" x14ac:dyDescent="0.25">
      <c r="A13" s="37">
        <v>40732</v>
      </c>
      <c r="B13" s="38">
        <v>6988.5</v>
      </c>
    </row>
    <row r="14" spans="1:9" x14ac:dyDescent="0.25">
      <c r="A14" s="39">
        <v>40733</v>
      </c>
      <c r="B14" s="40">
        <v>5337.5</v>
      </c>
    </row>
    <row r="15" spans="1:9" x14ac:dyDescent="0.25">
      <c r="A15" s="37">
        <v>40734</v>
      </c>
      <c r="B15" s="38">
        <v>6771.5</v>
      </c>
    </row>
    <row r="16" spans="1:9" x14ac:dyDescent="0.25">
      <c r="A16" s="39">
        <v>40735</v>
      </c>
      <c r="B16" s="40">
        <v>5273.5</v>
      </c>
    </row>
    <row r="17" spans="1:2" x14ac:dyDescent="0.25">
      <c r="A17" s="37">
        <v>40736</v>
      </c>
      <c r="B17" s="38">
        <v>7439</v>
      </c>
    </row>
    <row r="18" spans="1:2" x14ac:dyDescent="0.25">
      <c r="A18" s="39">
        <v>40737</v>
      </c>
      <c r="B18" s="40">
        <v>7044.5</v>
      </c>
    </row>
    <row r="19" spans="1:2" x14ac:dyDescent="0.25">
      <c r="A19" s="37">
        <v>40738</v>
      </c>
      <c r="B19" s="38">
        <v>6649</v>
      </c>
    </row>
    <row r="20" spans="1:2" x14ac:dyDescent="0.25">
      <c r="A20" s="39">
        <v>40739</v>
      </c>
      <c r="B20" s="40">
        <v>5514.5</v>
      </c>
    </row>
    <row r="21" spans="1:2" x14ac:dyDescent="0.25">
      <c r="A21" s="37">
        <v>40740</v>
      </c>
      <c r="B21" s="38">
        <v>5698.5</v>
      </c>
    </row>
    <row r="22" spans="1:2" x14ac:dyDescent="0.25">
      <c r="A22" s="39">
        <v>40741</v>
      </c>
      <c r="B22" s="40">
        <v>5288.5</v>
      </c>
    </row>
    <row r="23" spans="1:2" x14ac:dyDescent="0.25">
      <c r="A23" s="37">
        <v>40742</v>
      </c>
      <c r="B23" s="38">
        <v>5061</v>
      </c>
    </row>
    <row r="24" spans="1:2" x14ac:dyDescent="0.25">
      <c r="A24" s="39">
        <v>40743</v>
      </c>
      <c r="B24" s="40">
        <v>6270.5</v>
      </c>
    </row>
    <row r="25" spans="1:2" x14ac:dyDescent="0.25">
      <c r="A25" s="37">
        <v>40744</v>
      </c>
      <c r="B25" s="38">
        <v>6036.5</v>
      </c>
    </row>
    <row r="26" spans="1:2" x14ac:dyDescent="0.25">
      <c r="A26" s="39">
        <v>40745</v>
      </c>
      <c r="B26" s="40">
        <v>6672</v>
      </c>
    </row>
    <row r="27" spans="1:2" x14ac:dyDescent="0.25">
      <c r="A27" s="37">
        <v>40746</v>
      </c>
      <c r="B27" s="38">
        <v>6342</v>
      </c>
    </row>
    <row r="28" spans="1:2" x14ac:dyDescent="0.25">
      <c r="A28" s="39">
        <v>40747</v>
      </c>
      <c r="B28" s="40">
        <v>6215.5</v>
      </c>
    </row>
    <row r="29" spans="1:2" x14ac:dyDescent="0.25">
      <c r="A29" s="37">
        <v>40748</v>
      </c>
      <c r="B29" s="38">
        <v>5620</v>
      </c>
    </row>
    <row r="30" spans="1:2" x14ac:dyDescent="0.25">
      <c r="A30" s="39">
        <v>40749</v>
      </c>
      <c r="B30" s="40">
        <v>5623.5</v>
      </c>
    </row>
    <row r="31" spans="1:2" x14ac:dyDescent="0.25">
      <c r="A31" s="37">
        <v>40750</v>
      </c>
      <c r="B31" s="38">
        <v>5346</v>
      </c>
    </row>
    <row r="32" spans="1:2" x14ac:dyDescent="0.25">
      <c r="A32" s="39">
        <v>40751</v>
      </c>
      <c r="B32" s="40">
        <v>6191.5</v>
      </c>
    </row>
    <row r="33" spans="1:2" x14ac:dyDescent="0.25">
      <c r="A33" s="37">
        <v>40752</v>
      </c>
      <c r="B33" s="38">
        <v>5570</v>
      </c>
    </row>
    <row r="34" spans="1:2" x14ac:dyDescent="0.25">
      <c r="A34" s="39">
        <v>40753</v>
      </c>
      <c r="B34" s="40">
        <v>6539</v>
      </c>
    </row>
    <row r="35" spans="1:2" x14ac:dyDescent="0.25">
      <c r="A35" s="37">
        <v>40754</v>
      </c>
      <c r="B35" s="38">
        <v>7415</v>
      </c>
    </row>
    <row r="36" spans="1:2" x14ac:dyDescent="0.25">
      <c r="A36" s="39">
        <v>40755</v>
      </c>
      <c r="B36" s="40">
        <v>6390</v>
      </c>
    </row>
    <row r="37" spans="1:2" x14ac:dyDescent="0.25">
      <c r="A37" s="37">
        <v>40756</v>
      </c>
      <c r="B37" s="38">
        <v>5239.5</v>
      </c>
    </row>
    <row r="38" spans="1:2" x14ac:dyDescent="0.25">
      <c r="A38" s="39">
        <v>40757</v>
      </c>
      <c r="B38" s="40">
        <v>6765.5</v>
      </c>
    </row>
    <row r="39" spans="1:2" x14ac:dyDescent="0.25">
      <c r="A39" s="37">
        <v>40758</v>
      </c>
      <c r="B39" s="38">
        <v>6161</v>
      </c>
    </row>
    <row r="40" spans="1:2" x14ac:dyDescent="0.25">
      <c r="A40" s="39">
        <v>40759</v>
      </c>
      <c r="B40" s="40">
        <v>7361</v>
      </c>
    </row>
    <row r="41" spans="1:2" x14ac:dyDescent="0.25">
      <c r="A41" s="37">
        <v>40760</v>
      </c>
      <c r="B41" s="38">
        <v>5338</v>
      </c>
    </row>
    <row r="42" spans="1:2" x14ac:dyDescent="0.25">
      <c r="A42" s="39">
        <v>40761</v>
      </c>
      <c r="B42" s="40">
        <v>5743</v>
      </c>
    </row>
    <row r="43" spans="1:2" x14ac:dyDescent="0.25">
      <c r="A43" s="37">
        <v>40762</v>
      </c>
      <c r="B43" s="38">
        <v>6293</v>
      </c>
    </row>
    <row r="44" spans="1:2" x14ac:dyDescent="0.25">
      <c r="A44" s="39">
        <v>40763</v>
      </c>
      <c r="B44" s="40">
        <v>5166.5</v>
      </c>
    </row>
    <row r="45" spans="1:2" x14ac:dyDescent="0.25">
      <c r="A45" s="37">
        <v>40764</v>
      </c>
      <c r="B45" s="38">
        <v>5792.5</v>
      </c>
    </row>
    <row r="46" spans="1:2" x14ac:dyDescent="0.25">
      <c r="A46" s="39">
        <v>40765</v>
      </c>
      <c r="B46" s="40">
        <v>5271</v>
      </c>
    </row>
    <row r="47" spans="1:2" x14ac:dyDescent="0.25">
      <c r="A47" s="37">
        <v>40766</v>
      </c>
      <c r="B47" s="38">
        <v>6585.5</v>
      </c>
    </row>
    <row r="48" spans="1:2" x14ac:dyDescent="0.25">
      <c r="A48" s="39">
        <v>40767</v>
      </c>
      <c r="B48" s="40">
        <v>5091</v>
      </c>
    </row>
    <row r="49" spans="1:2" x14ac:dyDescent="0.25">
      <c r="A49" s="37">
        <v>40768</v>
      </c>
      <c r="B49" s="38">
        <v>5644.5</v>
      </c>
    </row>
    <row r="50" spans="1:2" x14ac:dyDescent="0.25">
      <c r="A50" s="39">
        <v>40769</v>
      </c>
      <c r="B50" s="40">
        <v>5386</v>
      </c>
    </row>
    <row r="51" spans="1:2" x14ac:dyDescent="0.25">
      <c r="A51" s="37">
        <v>40770</v>
      </c>
      <c r="B51" s="38">
        <v>5769.5</v>
      </c>
    </row>
    <row r="52" spans="1:2" x14ac:dyDescent="0.25">
      <c r="A52" s="39">
        <v>40771</v>
      </c>
      <c r="B52" s="40">
        <v>5564</v>
      </c>
    </row>
    <row r="53" spans="1:2" x14ac:dyDescent="0.25">
      <c r="A53" s="37">
        <v>40772</v>
      </c>
      <c r="B53" s="38">
        <v>7138</v>
      </c>
    </row>
    <row r="54" spans="1:2" x14ac:dyDescent="0.25">
      <c r="A54" s="39">
        <v>40773</v>
      </c>
      <c r="B54" s="40">
        <v>6510.5</v>
      </c>
    </row>
    <row r="55" spans="1:2" x14ac:dyDescent="0.25">
      <c r="A55" s="37">
        <v>40774</v>
      </c>
      <c r="B55" s="38">
        <v>6216.5</v>
      </c>
    </row>
    <row r="56" spans="1:2" x14ac:dyDescent="0.25">
      <c r="A56" s="39">
        <v>40775</v>
      </c>
      <c r="B56" s="40">
        <v>5640.5</v>
      </c>
    </row>
    <row r="57" spans="1:2" x14ac:dyDescent="0.25">
      <c r="A57" s="37">
        <v>40776</v>
      </c>
      <c r="B57" s="38">
        <v>5462</v>
      </c>
    </row>
    <row r="58" spans="1:2" x14ac:dyDescent="0.25">
      <c r="A58" s="39">
        <v>40777</v>
      </c>
      <c r="B58" s="40">
        <v>7062.5</v>
      </c>
    </row>
    <row r="59" spans="1:2" x14ac:dyDescent="0.25">
      <c r="A59" s="37">
        <v>40778</v>
      </c>
      <c r="B59" s="38">
        <v>7414.5</v>
      </c>
    </row>
    <row r="60" spans="1:2" x14ac:dyDescent="0.25">
      <c r="A60" s="39">
        <v>40779</v>
      </c>
      <c r="B60" s="40">
        <v>6322</v>
      </c>
    </row>
    <row r="61" spans="1:2" x14ac:dyDescent="0.25">
      <c r="A61" s="37">
        <v>40780</v>
      </c>
      <c r="B61" s="38">
        <v>5600.5</v>
      </c>
    </row>
    <row r="62" spans="1:2" x14ac:dyDescent="0.25">
      <c r="A62" s="39">
        <v>40781</v>
      </c>
      <c r="B62" s="40">
        <v>7261</v>
      </c>
    </row>
    <row r="63" spans="1:2" x14ac:dyDescent="0.25">
      <c r="A63" s="37">
        <v>40782</v>
      </c>
      <c r="B63" s="38">
        <v>6597</v>
      </c>
    </row>
    <row r="64" spans="1:2" x14ac:dyDescent="0.25">
      <c r="A64" s="39">
        <v>40783</v>
      </c>
      <c r="B64" s="40">
        <v>5886.5</v>
      </c>
    </row>
    <row r="65" spans="1:2" x14ac:dyDescent="0.25">
      <c r="A65" s="37">
        <v>40784</v>
      </c>
      <c r="B65" s="38">
        <v>5622</v>
      </c>
    </row>
    <row r="66" spans="1:2" x14ac:dyDescent="0.25">
      <c r="A66" s="39">
        <v>40785</v>
      </c>
      <c r="B66" s="40">
        <v>6862.5</v>
      </c>
    </row>
    <row r="67" spans="1:2" x14ac:dyDescent="0.25">
      <c r="A67" s="37">
        <v>40786</v>
      </c>
      <c r="B67" s="38">
        <v>5145</v>
      </c>
    </row>
    <row r="68" spans="1:2" x14ac:dyDescent="0.25">
      <c r="A68" s="39">
        <v>40787</v>
      </c>
      <c r="B68" s="40">
        <v>6986.5</v>
      </c>
    </row>
    <row r="69" spans="1:2" x14ac:dyDescent="0.25">
      <c r="A69" s="37">
        <v>40788</v>
      </c>
      <c r="B69" s="38">
        <v>5299.5</v>
      </c>
    </row>
    <row r="70" spans="1:2" x14ac:dyDescent="0.25">
      <c r="A70" s="39">
        <v>40789</v>
      </c>
      <c r="B70" s="40">
        <v>5263</v>
      </c>
    </row>
    <row r="71" spans="1:2" x14ac:dyDescent="0.25">
      <c r="A71" s="37">
        <v>40790</v>
      </c>
      <c r="B71" s="38">
        <v>6524</v>
      </c>
    </row>
    <row r="72" spans="1:2" x14ac:dyDescent="0.25">
      <c r="A72" s="39">
        <v>40791</v>
      </c>
      <c r="B72" s="40">
        <v>5593</v>
      </c>
    </row>
    <row r="73" spans="1:2" x14ac:dyDescent="0.25">
      <c r="A73" s="37">
        <v>40792</v>
      </c>
      <c r="B73" s="38">
        <v>7360</v>
      </c>
    </row>
    <row r="74" spans="1:2" x14ac:dyDescent="0.25">
      <c r="A74" s="39">
        <v>40793</v>
      </c>
      <c r="B74" s="40">
        <v>6892.5</v>
      </c>
    </row>
    <row r="75" spans="1:2" x14ac:dyDescent="0.25">
      <c r="A75" s="37">
        <v>40794</v>
      </c>
      <c r="B75" s="38">
        <v>7495</v>
      </c>
    </row>
    <row r="76" spans="1:2" x14ac:dyDescent="0.25">
      <c r="A76" s="39">
        <v>40795</v>
      </c>
      <c r="B76" s="40">
        <v>6088</v>
      </c>
    </row>
    <row r="77" spans="1:2" x14ac:dyDescent="0.25">
      <c r="A77" s="37">
        <v>40796</v>
      </c>
      <c r="B77" s="38">
        <v>6186</v>
      </c>
    </row>
    <row r="78" spans="1:2" x14ac:dyDescent="0.25">
      <c r="A78" s="39">
        <v>40797</v>
      </c>
      <c r="B78" s="40">
        <v>5310.5</v>
      </c>
    </row>
    <row r="79" spans="1:2" x14ac:dyDescent="0.25">
      <c r="A79" s="37">
        <v>40798</v>
      </c>
      <c r="B79" s="38">
        <v>7344.5</v>
      </c>
    </row>
    <row r="80" spans="1:2" x14ac:dyDescent="0.25">
      <c r="A80" s="39">
        <v>40799</v>
      </c>
      <c r="B80" s="40">
        <v>5217</v>
      </c>
    </row>
    <row r="81" spans="1:2" x14ac:dyDescent="0.25">
      <c r="A81" s="37">
        <v>40800</v>
      </c>
      <c r="B81" s="38">
        <v>7160.5</v>
      </c>
    </row>
    <row r="82" spans="1:2" x14ac:dyDescent="0.25">
      <c r="A82" s="39">
        <v>40801</v>
      </c>
      <c r="B82" s="40">
        <v>5450.5</v>
      </c>
    </row>
    <row r="83" spans="1:2" x14ac:dyDescent="0.25">
      <c r="A83" s="37">
        <v>40802</v>
      </c>
      <c r="B83" s="38">
        <v>6761.5</v>
      </c>
    </row>
    <row r="84" spans="1:2" x14ac:dyDescent="0.25">
      <c r="A84" s="39">
        <v>40803</v>
      </c>
      <c r="B84" s="40">
        <v>7100</v>
      </c>
    </row>
    <row r="85" spans="1:2" x14ac:dyDescent="0.25">
      <c r="A85" s="37">
        <v>40804</v>
      </c>
      <c r="B85" s="38">
        <v>5810.5</v>
      </c>
    </row>
    <row r="86" spans="1:2" x14ac:dyDescent="0.25">
      <c r="A86" s="39">
        <v>40805</v>
      </c>
      <c r="B86" s="40">
        <v>7362.5</v>
      </c>
    </row>
    <row r="87" spans="1:2" x14ac:dyDescent="0.25">
      <c r="A87" s="37">
        <v>40806</v>
      </c>
      <c r="B87" s="38">
        <v>6148.5</v>
      </c>
    </row>
    <row r="88" spans="1:2" x14ac:dyDescent="0.25">
      <c r="A88" s="39">
        <v>40807</v>
      </c>
      <c r="B88" s="40">
        <v>6718</v>
      </c>
    </row>
    <row r="89" spans="1:2" x14ac:dyDescent="0.25">
      <c r="A89" s="37">
        <v>40808</v>
      </c>
      <c r="B89" s="38">
        <v>7322.5</v>
      </c>
    </row>
    <row r="90" spans="1:2" x14ac:dyDescent="0.25">
      <c r="A90" s="39">
        <v>40809</v>
      </c>
      <c r="B90" s="40">
        <v>7261</v>
      </c>
    </row>
    <row r="91" spans="1:2" x14ac:dyDescent="0.25">
      <c r="A91" s="37">
        <v>40810</v>
      </c>
      <c r="B91" s="38">
        <v>6787.5</v>
      </c>
    </row>
    <row r="92" spans="1:2" x14ac:dyDescent="0.25">
      <c r="A92" s="39">
        <v>40811</v>
      </c>
      <c r="B92" s="40">
        <v>6262</v>
      </c>
    </row>
    <row r="93" spans="1:2" x14ac:dyDescent="0.25">
      <c r="A93" s="37">
        <v>40812</v>
      </c>
      <c r="B93" s="38">
        <v>5846.5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8"/>
  <sheetViews>
    <sheetView workbookViewId="0">
      <selection activeCell="E18" sqref="E18"/>
    </sheetView>
  </sheetViews>
  <sheetFormatPr defaultRowHeight="15" x14ac:dyDescent="0.25"/>
  <cols>
    <col min="1" max="1" width="9.5703125" bestFit="1" customWidth="1"/>
  </cols>
  <sheetData>
    <row r="1" spans="1:7" x14ac:dyDescent="0.25">
      <c r="A1" t="s">
        <v>116</v>
      </c>
      <c r="B1" t="s">
        <v>117</v>
      </c>
      <c r="C1" t="s">
        <v>118</v>
      </c>
      <c r="D1" t="s">
        <v>119</v>
      </c>
      <c r="E1" t="s">
        <v>120</v>
      </c>
      <c r="F1" t="s">
        <v>121</v>
      </c>
      <c r="G1" t="s">
        <v>122</v>
      </c>
    </row>
    <row r="2" spans="1:7" x14ac:dyDescent="0.25">
      <c r="A2" s="61">
        <v>40664</v>
      </c>
      <c r="B2">
        <v>33</v>
      </c>
      <c r="C2">
        <v>20</v>
      </c>
      <c r="D2">
        <v>38</v>
      </c>
      <c r="E2">
        <v>32</v>
      </c>
      <c r="F2">
        <v>25</v>
      </c>
      <c r="G2">
        <v>33</v>
      </c>
    </row>
    <row r="3" spans="1:7" x14ac:dyDescent="0.25">
      <c r="A3" s="61">
        <f>+A2+1</f>
        <v>40665</v>
      </c>
      <c r="B3">
        <v>35</v>
      </c>
      <c r="C3">
        <v>43</v>
      </c>
      <c r="D3">
        <v>48</v>
      </c>
      <c r="E3">
        <v>47</v>
      </c>
      <c r="F3">
        <v>46</v>
      </c>
      <c r="G3">
        <v>46</v>
      </c>
    </row>
    <row r="4" spans="1:7" x14ac:dyDescent="0.25">
      <c r="A4" s="61">
        <f t="shared" ref="A4:A11" si="0">+A3+1</f>
        <v>40666</v>
      </c>
      <c r="B4">
        <v>42</v>
      </c>
      <c r="C4">
        <v>30</v>
      </c>
      <c r="D4">
        <v>29</v>
      </c>
      <c r="E4">
        <v>33</v>
      </c>
      <c r="F4">
        <v>30</v>
      </c>
      <c r="G4">
        <v>50</v>
      </c>
    </row>
    <row r="5" spans="1:7" x14ac:dyDescent="0.25">
      <c r="A5" s="61">
        <f t="shared" si="0"/>
        <v>40667</v>
      </c>
      <c r="B5">
        <v>39</v>
      </c>
      <c r="C5">
        <v>42</v>
      </c>
      <c r="D5">
        <v>31</v>
      </c>
      <c r="E5">
        <v>39</v>
      </c>
      <c r="F5">
        <v>34</v>
      </c>
      <c r="G5">
        <v>38</v>
      </c>
    </row>
    <row r="6" spans="1:7" x14ac:dyDescent="0.25">
      <c r="A6" s="61">
        <f t="shared" si="0"/>
        <v>40668</v>
      </c>
      <c r="B6">
        <v>28</v>
      </c>
      <c r="C6">
        <v>30</v>
      </c>
      <c r="D6">
        <v>42</v>
      </c>
      <c r="E6">
        <v>22</v>
      </c>
      <c r="F6">
        <v>23</v>
      </c>
      <c r="G6">
        <v>42</v>
      </c>
    </row>
    <row r="7" spans="1:7" x14ac:dyDescent="0.25">
      <c r="A7" s="61">
        <f t="shared" si="0"/>
        <v>40669</v>
      </c>
      <c r="B7">
        <v>50</v>
      </c>
      <c r="C7">
        <v>25</v>
      </c>
      <c r="D7">
        <v>22</v>
      </c>
      <c r="E7">
        <v>23</v>
      </c>
      <c r="F7">
        <v>45</v>
      </c>
      <c r="G7">
        <v>37</v>
      </c>
    </row>
    <row r="8" spans="1:7" x14ac:dyDescent="0.25">
      <c r="A8" s="61">
        <f t="shared" si="0"/>
        <v>40670</v>
      </c>
      <c r="B8">
        <v>24</v>
      </c>
      <c r="C8">
        <v>30</v>
      </c>
      <c r="D8">
        <v>36</v>
      </c>
      <c r="E8">
        <v>32</v>
      </c>
      <c r="F8">
        <v>27</v>
      </c>
      <c r="G8">
        <v>36</v>
      </c>
    </row>
    <row r="9" spans="1:7" x14ac:dyDescent="0.25">
      <c r="A9" s="61">
        <f t="shared" si="0"/>
        <v>40671</v>
      </c>
      <c r="B9">
        <v>40</v>
      </c>
      <c r="C9">
        <v>49</v>
      </c>
      <c r="D9">
        <v>32</v>
      </c>
      <c r="E9">
        <v>47</v>
      </c>
      <c r="F9">
        <v>28</v>
      </c>
      <c r="G9">
        <v>39</v>
      </c>
    </row>
    <row r="10" spans="1:7" x14ac:dyDescent="0.25">
      <c r="A10" s="61">
        <f t="shared" si="0"/>
        <v>40672</v>
      </c>
      <c r="B10">
        <v>33</v>
      </c>
      <c r="C10">
        <v>26</v>
      </c>
      <c r="D10">
        <v>42</v>
      </c>
      <c r="E10">
        <v>49</v>
      </c>
      <c r="F10">
        <v>40</v>
      </c>
      <c r="G10">
        <v>24</v>
      </c>
    </row>
    <row r="11" spans="1:7" x14ac:dyDescent="0.25">
      <c r="A11" s="61">
        <f t="shared" si="0"/>
        <v>40673</v>
      </c>
      <c r="B11">
        <v>45</v>
      </c>
      <c r="C11">
        <v>27</v>
      </c>
      <c r="D11">
        <v>42</v>
      </c>
      <c r="E11">
        <v>20</v>
      </c>
      <c r="F11">
        <v>42</v>
      </c>
      <c r="G11">
        <v>27</v>
      </c>
    </row>
    <row r="14" spans="1:7" x14ac:dyDescent="0.25">
      <c r="C14" s="62" t="s">
        <v>123</v>
      </c>
      <c r="D14" s="63">
        <v>40667</v>
      </c>
    </row>
    <row r="15" spans="1:7" x14ac:dyDescent="0.25">
      <c r="C15" s="62" t="s">
        <v>124</v>
      </c>
      <c r="D15" t="s">
        <v>121</v>
      </c>
    </row>
    <row r="18" spans="3:4" x14ac:dyDescent="0.25">
      <c r="C18" s="62" t="s">
        <v>125</v>
      </c>
      <c r="D18">
        <f>SUMPRODUCT(($A$2:$A$11=D14)*($B$1:$G$1=D15)*(B2:G11))</f>
        <v>34</v>
      </c>
    </row>
  </sheetData>
  <dataValidations count="2">
    <dataValidation type="list" allowBlank="1" showInputMessage="1" showErrorMessage="1" sqref="D14">
      <formula1>$A$2:$A$11</formula1>
    </dataValidation>
    <dataValidation type="list" allowBlank="1" showInputMessage="1" showErrorMessage="1" sqref="D15">
      <formula1>$B$1:$G$1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5"/>
  <sheetViews>
    <sheetView workbookViewId="0">
      <selection activeCell="J16" sqref="J16"/>
    </sheetView>
  </sheetViews>
  <sheetFormatPr defaultRowHeight="15" x14ac:dyDescent="0.25"/>
  <cols>
    <col min="2" max="2" width="14.42578125" bestFit="1" customWidth="1"/>
    <col min="3" max="3" width="19.28515625" bestFit="1" customWidth="1"/>
    <col min="8" max="8" width="13.7109375" bestFit="1" customWidth="1"/>
    <col min="9" max="9" width="12.140625" bestFit="1" customWidth="1"/>
  </cols>
  <sheetData>
    <row r="1" spans="1:15" x14ac:dyDescent="0.25">
      <c r="A1" s="64" t="s">
        <v>89</v>
      </c>
      <c r="B1" s="64" t="s">
        <v>126</v>
      </c>
      <c r="C1" s="64" t="s">
        <v>127</v>
      </c>
      <c r="D1" s="65" t="s">
        <v>128</v>
      </c>
    </row>
    <row r="2" spans="1:15" x14ac:dyDescent="0.25">
      <c r="A2" s="13" t="s">
        <v>129</v>
      </c>
      <c r="B2" s="13" t="s">
        <v>130</v>
      </c>
      <c r="C2" s="13" t="s">
        <v>131</v>
      </c>
      <c r="D2" s="13">
        <v>192</v>
      </c>
    </row>
    <row r="3" spans="1:15" x14ac:dyDescent="0.25">
      <c r="A3" s="13" t="s">
        <v>132</v>
      </c>
      <c r="B3" s="13" t="s">
        <v>130</v>
      </c>
      <c r="C3" s="13" t="s">
        <v>133</v>
      </c>
      <c r="D3" s="13">
        <v>784</v>
      </c>
      <c r="H3" s="66" t="s">
        <v>155</v>
      </c>
      <c r="I3" s="66" t="s">
        <v>156</v>
      </c>
      <c r="J3" s="66" t="s">
        <v>91</v>
      </c>
      <c r="K3" s="66" t="s">
        <v>157</v>
      </c>
    </row>
    <row r="4" spans="1:15" x14ac:dyDescent="0.25">
      <c r="A4" s="13" t="s">
        <v>134</v>
      </c>
      <c r="B4" s="13" t="s">
        <v>130</v>
      </c>
      <c r="C4" s="13" t="s">
        <v>135</v>
      </c>
      <c r="D4" s="13">
        <v>764</v>
      </c>
      <c r="H4" s="10" t="s">
        <v>158</v>
      </c>
      <c r="I4" s="10">
        <v>4.55</v>
      </c>
      <c r="J4" s="10">
        <v>2.5</v>
      </c>
      <c r="K4" s="10">
        <f>I4*J4</f>
        <v>11.375</v>
      </c>
    </row>
    <row r="5" spans="1:15" x14ac:dyDescent="0.25">
      <c r="A5" s="13" t="s">
        <v>136</v>
      </c>
      <c r="B5" s="13" t="s">
        <v>130</v>
      </c>
      <c r="C5" s="13" t="s">
        <v>137</v>
      </c>
      <c r="D5" s="13">
        <v>676</v>
      </c>
      <c r="H5" s="10" t="s">
        <v>159</v>
      </c>
      <c r="I5" s="10">
        <v>12.75</v>
      </c>
      <c r="J5" s="10">
        <v>1</v>
      </c>
      <c r="K5" s="10">
        <f t="shared" ref="K5:K7" si="0">I5*J5</f>
        <v>12.75</v>
      </c>
    </row>
    <row r="6" spans="1:15" x14ac:dyDescent="0.25">
      <c r="A6" s="13" t="s">
        <v>132</v>
      </c>
      <c r="B6" s="13" t="s">
        <v>138</v>
      </c>
      <c r="C6" s="13" t="s">
        <v>139</v>
      </c>
      <c r="D6" s="13">
        <v>697</v>
      </c>
      <c r="H6" s="10" t="s">
        <v>160</v>
      </c>
      <c r="I6" s="10">
        <v>70</v>
      </c>
      <c r="J6" s="10">
        <v>2.5</v>
      </c>
      <c r="K6" s="10">
        <f t="shared" si="0"/>
        <v>175</v>
      </c>
      <c r="M6">
        <v>4</v>
      </c>
      <c r="N6">
        <v>5</v>
      </c>
      <c r="O6">
        <f>SUMPRODUCT(M6,N6)</f>
        <v>20</v>
      </c>
    </row>
    <row r="7" spans="1:15" x14ac:dyDescent="0.25">
      <c r="A7" s="13" t="s">
        <v>140</v>
      </c>
      <c r="B7" s="13" t="s">
        <v>138</v>
      </c>
      <c r="C7" s="13" t="s">
        <v>141</v>
      </c>
      <c r="D7" s="13">
        <v>356</v>
      </c>
      <c r="H7" s="10" t="s">
        <v>122</v>
      </c>
      <c r="I7" s="10">
        <v>35</v>
      </c>
      <c r="J7" s="10">
        <v>3.5</v>
      </c>
      <c r="K7" s="10">
        <f t="shared" si="0"/>
        <v>122.5</v>
      </c>
    </row>
    <row r="8" spans="1:15" x14ac:dyDescent="0.25">
      <c r="A8" s="13" t="s">
        <v>140</v>
      </c>
      <c r="B8" s="13" t="s">
        <v>138</v>
      </c>
      <c r="C8" s="13" t="s">
        <v>142</v>
      </c>
      <c r="D8" s="13">
        <v>40</v>
      </c>
      <c r="H8" s="10"/>
      <c r="I8" s="10"/>
      <c r="J8" s="10"/>
      <c r="K8" s="67">
        <f>SUM(K4:K7)</f>
        <v>321.625</v>
      </c>
    </row>
    <row r="9" spans="1:15" x14ac:dyDescent="0.25">
      <c r="A9" s="13" t="s">
        <v>132</v>
      </c>
      <c r="B9" s="13" t="s">
        <v>138</v>
      </c>
      <c r="C9" s="13" t="s">
        <v>143</v>
      </c>
      <c r="D9" s="13">
        <v>104</v>
      </c>
      <c r="H9" s="10"/>
      <c r="I9" s="10"/>
      <c r="J9" s="10"/>
      <c r="K9" s="10"/>
    </row>
    <row r="10" spans="1:15" x14ac:dyDescent="0.25">
      <c r="A10" s="13" t="s">
        <v>129</v>
      </c>
      <c r="B10" s="13" t="s">
        <v>144</v>
      </c>
      <c r="C10" s="13" t="s">
        <v>145</v>
      </c>
      <c r="D10" s="13">
        <v>336</v>
      </c>
    </row>
    <row r="11" spans="1:15" x14ac:dyDescent="0.25">
      <c r="A11" s="13" t="s">
        <v>132</v>
      </c>
      <c r="B11" s="13" t="s">
        <v>144</v>
      </c>
      <c r="C11" s="13" t="s">
        <v>141</v>
      </c>
      <c r="D11" s="13">
        <v>310</v>
      </c>
    </row>
    <row r="12" spans="1:15" x14ac:dyDescent="0.25">
      <c r="A12" s="13" t="s">
        <v>136</v>
      </c>
      <c r="B12" s="13" t="s">
        <v>144</v>
      </c>
      <c r="C12" s="13" t="s">
        <v>146</v>
      </c>
      <c r="D12" s="13">
        <v>727</v>
      </c>
      <c r="H12" s="68">
        <f>SUMPRODUCT(I4:I7,J4:J7)</f>
        <v>321.625</v>
      </c>
    </row>
    <row r="13" spans="1:15" x14ac:dyDescent="0.25">
      <c r="A13" s="13" t="s">
        <v>132</v>
      </c>
      <c r="B13" s="13" t="s">
        <v>144</v>
      </c>
      <c r="C13" s="13" t="s">
        <v>147</v>
      </c>
      <c r="D13" s="13">
        <v>466</v>
      </c>
    </row>
    <row r="14" spans="1:15" x14ac:dyDescent="0.25">
      <c r="A14" s="13" t="s">
        <v>132</v>
      </c>
      <c r="B14" s="13" t="s">
        <v>130</v>
      </c>
      <c r="C14" s="13" t="s">
        <v>148</v>
      </c>
      <c r="D14" s="13">
        <v>114</v>
      </c>
      <c r="H14" s="66" t="s">
        <v>89</v>
      </c>
      <c r="I14" s="66" t="s">
        <v>161</v>
      </c>
      <c r="J14" s="66" t="s">
        <v>162</v>
      </c>
      <c r="K14" s="66" t="s">
        <v>163</v>
      </c>
    </row>
    <row r="15" spans="1:15" x14ac:dyDescent="0.25">
      <c r="A15" s="13" t="s">
        <v>140</v>
      </c>
      <c r="B15" s="13" t="s">
        <v>130</v>
      </c>
      <c r="C15" s="13" t="s">
        <v>149</v>
      </c>
      <c r="D15" s="13">
        <v>801</v>
      </c>
      <c r="H15" s="13" t="s">
        <v>132</v>
      </c>
      <c r="I15" s="13" t="s">
        <v>130</v>
      </c>
      <c r="J15" s="10">
        <f>SUMPRODUCT(($A$2:$A$145=H15)*($B$2:$B$145=I15)*($D$2:$D$145))</f>
        <v>7045</v>
      </c>
      <c r="K15" s="10">
        <f>SUMPRODUCT(--($A$2:$A$145=H15)*($B$2:$B$145=I15))</f>
        <v>12</v>
      </c>
    </row>
    <row r="16" spans="1:15" x14ac:dyDescent="0.25">
      <c r="A16" s="13" t="s">
        <v>129</v>
      </c>
      <c r="B16" s="13" t="s">
        <v>130</v>
      </c>
      <c r="C16" s="13" t="s">
        <v>150</v>
      </c>
      <c r="D16" s="13">
        <v>912</v>
      </c>
      <c r="H16" s="13" t="s">
        <v>136</v>
      </c>
      <c r="I16" s="13" t="s">
        <v>138</v>
      </c>
      <c r="J16" s="10">
        <f t="shared" ref="J16:J20" si="1">SUMPRODUCT(($A$2:$A$145=H16)*($B$2:$B$145=I16)*($D$2:$D$145))</f>
        <v>8810</v>
      </c>
      <c r="K16" s="10">
        <f t="shared" ref="K16:K20" si="2">SUMPRODUCT(--($A$2:$A$145=H16)*($B$2:$B$145=I16))</f>
        <v>11</v>
      </c>
    </row>
    <row r="17" spans="1:11" x14ac:dyDescent="0.25">
      <c r="A17" s="13" t="s">
        <v>134</v>
      </c>
      <c r="B17" s="13" t="s">
        <v>130</v>
      </c>
      <c r="C17" s="13" t="s">
        <v>151</v>
      </c>
      <c r="D17" s="13">
        <v>847</v>
      </c>
      <c r="H17" s="13" t="s">
        <v>132</v>
      </c>
      <c r="I17" s="13" t="s">
        <v>138</v>
      </c>
      <c r="J17" s="10">
        <f t="shared" si="1"/>
        <v>4114</v>
      </c>
      <c r="K17" s="10">
        <f t="shared" si="2"/>
        <v>8</v>
      </c>
    </row>
    <row r="18" spans="1:11" x14ac:dyDescent="0.25">
      <c r="A18" s="13" t="s">
        <v>140</v>
      </c>
      <c r="B18" s="13" t="s">
        <v>138</v>
      </c>
      <c r="C18" s="13" t="s">
        <v>135</v>
      </c>
      <c r="D18" s="13">
        <v>725</v>
      </c>
      <c r="H18" s="13" t="s">
        <v>136</v>
      </c>
      <c r="I18" s="13" t="s">
        <v>144</v>
      </c>
      <c r="J18" s="10">
        <f t="shared" si="1"/>
        <v>3004</v>
      </c>
      <c r="K18" s="10">
        <f t="shared" si="2"/>
        <v>6</v>
      </c>
    </row>
    <row r="19" spans="1:11" x14ac:dyDescent="0.25">
      <c r="A19" s="13" t="s">
        <v>140</v>
      </c>
      <c r="B19" s="13" t="s">
        <v>138</v>
      </c>
      <c r="C19" s="13" t="s">
        <v>152</v>
      </c>
      <c r="D19" s="13">
        <v>65</v>
      </c>
      <c r="H19" s="13" t="s">
        <v>140</v>
      </c>
      <c r="I19" s="13" t="s">
        <v>130</v>
      </c>
      <c r="J19" s="10">
        <f t="shared" si="1"/>
        <v>5364</v>
      </c>
      <c r="K19" s="10">
        <f t="shared" si="2"/>
        <v>7</v>
      </c>
    </row>
    <row r="20" spans="1:11" x14ac:dyDescent="0.25">
      <c r="A20" s="13" t="s">
        <v>136</v>
      </c>
      <c r="B20" s="13" t="s">
        <v>138</v>
      </c>
      <c r="C20" s="13" t="s">
        <v>131</v>
      </c>
      <c r="D20" s="13">
        <v>872</v>
      </c>
      <c r="H20" s="13" t="s">
        <v>134</v>
      </c>
      <c r="I20" s="13" t="s">
        <v>144</v>
      </c>
      <c r="J20" s="10">
        <f t="shared" si="1"/>
        <v>4887</v>
      </c>
      <c r="K20" s="10">
        <f t="shared" si="2"/>
        <v>13</v>
      </c>
    </row>
    <row r="21" spans="1:11" x14ac:dyDescent="0.25">
      <c r="A21" s="13" t="s">
        <v>132</v>
      </c>
      <c r="B21" s="13" t="s">
        <v>138</v>
      </c>
      <c r="C21" s="13" t="s">
        <v>133</v>
      </c>
      <c r="D21" s="13">
        <v>321</v>
      </c>
    </row>
    <row r="22" spans="1:11" x14ac:dyDescent="0.25">
      <c r="A22" s="13" t="s">
        <v>134</v>
      </c>
      <c r="B22" s="13" t="s">
        <v>144</v>
      </c>
      <c r="C22" s="13" t="s">
        <v>135</v>
      </c>
      <c r="D22" s="13">
        <v>735</v>
      </c>
    </row>
    <row r="23" spans="1:11" x14ac:dyDescent="0.25">
      <c r="A23" s="13" t="s">
        <v>140</v>
      </c>
      <c r="B23" s="13" t="s">
        <v>144</v>
      </c>
      <c r="C23" s="13" t="s">
        <v>137</v>
      </c>
      <c r="D23" s="13">
        <v>472</v>
      </c>
    </row>
    <row r="24" spans="1:11" x14ac:dyDescent="0.25">
      <c r="A24" s="13" t="s">
        <v>140</v>
      </c>
      <c r="B24" s="13" t="s">
        <v>144</v>
      </c>
      <c r="C24" s="13" t="s">
        <v>139</v>
      </c>
      <c r="D24" s="13">
        <v>115</v>
      </c>
    </row>
    <row r="25" spans="1:11" x14ac:dyDescent="0.25">
      <c r="A25" s="13" t="s">
        <v>132</v>
      </c>
      <c r="B25" s="13" t="s">
        <v>144</v>
      </c>
      <c r="C25" s="13" t="s">
        <v>141</v>
      </c>
      <c r="D25" s="13">
        <v>460</v>
      </c>
    </row>
    <row r="26" spans="1:11" x14ac:dyDescent="0.25">
      <c r="A26" s="13" t="s">
        <v>136</v>
      </c>
      <c r="B26" s="13" t="s">
        <v>130</v>
      </c>
      <c r="C26" s="13" t="s">
        <v>131</v>
      </c>
      <c r="D26" s="13">
        <v>713</v>
      </c>
    </row>
    <row r="27" spans="1:11" x14ac:dyDescent="0.25">
      <c r="A27" s="13" t="s">
        <v>136</v>
      </c>
      <c r="B27" s="13" t="s">
        <v>130</v>
      </c>
      <c r="C27" s="13" t="s">
        <v>133</v>
      </c>
      <c r="D27" s="13">
        <v>957</v>
      </c>
    </row>
    <row r="28" spans="1:11" x14ac:dyDescent="0.25">
      <c r="A28" s="13" t="s">
        <v>134</v>
      </c>
      <c r="B28" s="13" t="s">
        <v>130</v>
      </c>
      <c r="C28" s="13" t="s">
        <v>135</v>
      </c>
      <c r="D28" s="13">
        <v>987</v>
      </c>
    </row>
    <row r="29" spans="1:11" x14ac:dyDescent="0.25">
      <c r="A29" s="13" t="s">
        <v>140</v>
      </c>
      <c r="B29" s="13" t="s">
        <v>130</v>
      </c>
      <c r="C29" s="13" t="s">
        <v>137</v>
      </c>
      <c r="D29" s="13">
        <v>535</v>
      </c>
    </row>
    <row r="30" spans="1:11" x14ac:dyDescent="0.25">
      <c r="A30" s="13" t="s">
        <v>132</v>
      </c>
      <c r="B30" s="13" t="s">
        <v>138</v>
      </c>
      <c r="C30" s="13" t="s">
        <v>139</v>
      </c>
      <c r="D30" s="13">
        <v>645</v>
      </c>
    </row>
    <row r="31" spans="1:11" x14ac:dyDescent="0.25">
      <c r="A31" s="13" t="s">
        <v>129</v>
      </c>
      <c r="B31" s="13" t="s">
        <v>138</v>
      </c>
      <c r="C31" s="13" t="s">
        <v>141</v>
      </c>
      <c r="D31" s="13">
        <v>899</v>
      </c>
    </row>
    <row r="32" spans="1:11" x14ac:dyDescent="0.25">
      <c r="A32" s="13" t="s">
        <v>136</v>
      </c>
      <c r="B32" s="13" t="s">
        <v>138</v>
      </c>
      <c r="C32" s="13" t="s">
        <v>142</v>
      </c>
      <c r="D32" s="13">
        <v>914</v>
      </c>
    </row>
    <row r="33" spans="1:4" x14ac:dyDescent="0.25">
      <c r="A33" s="13" t="s">
        <v>129</v>
      </c>
      <c r="B33" s="13" t="s">
        <v>138</v>
      </c>
      <c r="C33" s="13" t="s">
        <v>143</v>
      </c>
      <c r="D33" s="13">
        <v>125</v>
      </c>
    </row>
    <row r="34" spans="1:4" x14ac:dyDescent="0.25">
      <c r="A34" s="13" t="s">
        <v>140</v>
      </c>
      <c r="B34" s="13" t="s">
        <v>144</v>
      </c>
      <c r="C34" s="13" t="s">
        <v>145</v>
      </c>
      <c r="D34" s="13">
        <v>955</v>
      </c>
    </row>
    <row r="35" spans="1:4" x14ac:dyDescent="0.25">
      <c r="A35" s="13" t="s">
        <v>134</v>
      </c>
      <c r="B35" s="13" t="s">
        <v>144</v>
      </c>
      <c r="C35" s="13" t="s">
        <v>141</v>
      </c>
      <c r="D35" s="13">
        <v>704</v>
      </c>
    </row>
    <row r="36" spans="1:4" x14ac:dyDescent="0.25">
      <c r="A36" s="13" t="s">
        <v>140</v>
      </c>
      <c r="B36" s="13" t="s">
        <v>144</v>
      </c>
      <c r="C36" s="13" t="s">
        <v>146</v>
      </c>
      <c r="D36" s="13">
        <v>65</v>
      </c>
    </row>
    <row r="37" spans="1:4" x14ac:dyDescent="0.25">
      <c r="A37" s="13" t="s">
        <v>132</v>
      </c>
      <c r="B37" s="13" t="s">
        <v>144</v>
      </c>
      <c r="C37" s="13" t="s">
        <v>151</v>
      </c>
      <c r="D37" s="13">
        <v>858</v>
      </c>
    </row>
    <row r="38" spans="1:4" x14ac:dyDescent="0.25">
      <c r="A38" s="13" t="s">
        <v>129</v>
      </c>
      <c r="B38" s="13" t="s">
        <v>130</v>
      </c>
      <c r="C38" s="13" t="s">
        <v>131</v>
      </c>
      <c r="D38" s="13">
        <v>160</v>
      </c>
    </row>
    <row r="39" spans="1:4" x14ac:dyDescent="0.25">
      <c r="A39" s="13" t="s">
        <v>134</v>
      </c>
      <c r="B39" s="13" t="s">
        <v>130</v>
      </c>
      <c r="C39" s="13" t="s">
        <v>133</v>
      </c>
      <c r="D39" s="13">
        <v>559</v>
      </c>
    </row>
    <row r="40" spans="1:4" x14ac:dyDescent="0.25">
      <c r="A40" s="13" t="s">
        <v>140</v>
      </c>
      <c r="B40" s="13" t="s">
        <v>130</v>
      </c>
      <c r="C40" s="13" t="s">
        <v>135</v>
      </c>
      <c r="D40" s="13">
        <v>892</v>
      </c>
    </row>
    <row r="41" spans="1:4" x14ac:dyDescent="0.25">
      <c r="A41" s="13" t="s">
        <v>136</v>
      </c>
      <c r="B41" s="13" t="s">
        <v>130</v>
      </c>
      <c r="C41" s="13" t="s">
        <v>137</v>
      </c>
      <c r="D41" s="13">
        <v>26</v>
      </c>
    </row>
    <row r="42" spans="1:4" x14ac:dyDescent="0.25">
      <c r="A42" s="13" t="s">
        <v>134</v>
      </c>
      <c r="B42" s="13" t="s">
        <v>138</v>
      </c>
      <c r="C42" s="13" t="s">
        <v>139</v>
      </c>
      <c r="D42" s="13">
        <v>685</v>
      </c>
    </row>
    <row r="43" spans="1:4" x14ac:dyDescent="0.25">
      <c r="A43" s="13" t="s">
        <v>134</v>
      </c>
      <c r="B43" s="13" t="s">
        <v>138</v>
      </c>
      <c r="C43" s="13" t="s">
        <v>141</v>
      </c>
      <c r="D43" s="13">
        <v>366</v>
      </c>
    </row>
    <row r="44" spans="1:4" x14ac:dyDescent="0.25">
      <c r="A44" s="13" t="s">
        <v>140</v>
      </c>
      <c r="B44" s="13" t="s">
        <v>138</v>
      </c>
      <c r="C44" s="13" t="s">
        <v>142</v>
      </c>
      <c r="D44" s="13">
        <v>192</v>
      </c>
    </row>
    <row r="45" spans="1:4" x14ac:dyDescent="0.25">
      <c r="A45" s="13" t="s">
        <v>140</v>
      </c>
      <c r="B45" s="13" t="s">
        <v>138</v>
      </c>
      <c r="C45" s="13" t="s">
        <v>131</v>
      </c>
      <c r="D45" s="13">
        <v>135</v>
      </c>
    </row>
    <row r="46" spans="1:4" x14ac:dyDescent="0.25">
      <c r="A46" s="13" t="s">
        <v>134</v>
      </c>
      <c r="B46" s="13" t="s">
        <v>144</v>
      </c>
      <c r="C46" s="13" t="s">
        <v>133</v>
      </c>
      <c r="D46" s="13">
        <v>177</v>
      </c>
    </row>
    <row r="47" spans="1:4" x14ac:dyDescent="0.25">
      <c r="A47" s="13" t="s">
        <v>140</v>
      </c>
      <c r="B47" s="13" t="s">
        <v>144</v>
      </c>
      <c r="C47" s="13" t="s">
        <v>135</v>
      </c>
      <c r="D47" s="13">
        <v>213</v>
      </c>
    </row>
    <row r="48" spans="1:4" x14ac:dyDescent="0.25">
      <c r="A48" s="13" t="s">
        <v>134</v>
      </c>
      <c r="B48" s="13" t="s">
        <v>144</v>
      </c>
      <c r="C48" s="13" t="s">
        <v>137</v>
      </c>
      <c r="D48" s="13">
        <v>162</v>
      </c>
    </row>
    <row r="49" spans="1:4" x14ac:dyDescent="0.25">
      <c r="A49" s="13" t="s">
        <v>132</v>
      </c>
      <c r="B49" s="13" t="s">
        <v>144</v>
      </c>
      <c r="C49" s="13" t="s">
        <v>139</v>
      </c>
      <c r="D49" s="13">
        <v>288</v>
      </c>
    </row>
    <row r="50" spans="1:4" x14ac:dyDescent="0.25">
      <c r="A50" s="13" t="s">
        <v>136</v>
      </c>
      <c r="B50" s="13" t="s">
        <v>130</v>
      </c>
      <c r="C50" s="13" t="s">
        <v>141</v>
      </c>
      <c r="D50" s="13">
        <v>162</v>
      </c>
    </row>
    <row r="51" spans="1:4" x14ac:dyDescent="0.25">
      <c r="A51" s="13" t="s">
        <v>129</v>
      </c>
      <c r="B51" s="13" t="s">
        <v>130</v>
      </c>
      <c r="C51" s="13" t="s">
        <v>142</v>
      </c>
      <c r="D51" s="13">
        <v>436</v>
      </c>
    </row>
    <row r="52" spans="1:4" x14ac:dyDescent="0.25">
      <c r="A52" s="13" t="s">
        <v>136</v>
      </c>
      <c r="B52" s="13" t="s">
        <v>130</v>
      </c>
      <c r="C52" s="13" t="s">
        <v>143</v>
      </c>
      <c r="D52" s="13">
        <v>71</v>
      </c>
    </row>
    <row r="53" spans="1:4" x14ac:dyDescent="0.25">
      <c r="A53" s="13" t="s">
        <v>136</v>
      </c>
      <c r="B53" s="13" t="s">
        <v>130</v>
      </c>
      <c r="C53" s="13" t="s">
        <v>131</v>
      </c>
      <c r="D53" s="13">
        <v>902</v>
      </c>
    </row>
    <row r="54" spans="1:4" x14ac:dyDescent="0.25">
      <c r="A54" s="13" t="s">
        <v>129</v>
      </c>
      <c r="B54" s="13" t="s">
        <v>138</v>
      </c>
      <c r="C54" s="13" t="s">
        <v>133</v>
      </c>
      <c r="D54" s="13">
        <v>437</v>
      </c>
    </row>
    <row r="55" spans="1:4" x14ac:dyDescent="0.25">
      <c r="A55" s="13" t="s">
        <v>136</v>
      </c>
      <c r="B55" s="13" t="s">
        <v>138</v>
      </c>
      <c r="C55" s="13" t="s">
        <v>135</v>
      </c>
      <c r="D55" s="13">
        <v>919</v>
      </c>
    </row>
    <row r="56" spans="1:4" x14ac:dyDescent="0.25">
      <c r="A56" s="13" t="s">
        <v>140</v>
      </c>
      <c r="B56" s="13" t="s">
        <v>138</v>
      </c>
      <c r="C56" s="13" t="s">
        <v>137</v>
      </c>
      <c r="D56" s="13">
        <v>358</v>
      </c>
    </row>
    <row r="57" spans="1:4" x14ac:dyDescent="0.25">
      <c r="A57" s="13" t="s">
        <v>129</v>
      </c>
      <c r="B57" s="13" t="s">
        <v>138</v>
      </c>
      <c r="C57" s="13" t="s">
        <v>139</v>
      </c>
      <c r="D57" s="13">
        <v>989</v>
      </c>
    </row>
    <row r="58" spans="1:4" x14ac:dyDescent="0.25">
      <c r="A58" s="13" t="s">
        <v>134</v>
      </c>
      <c r="B58" s="13" t="s">
        <v>144</v>
      </c>
      <c r="C58" s="13" t="s">
        <v>141</v>
      </c>
      <c r="D58" s="13">
        <v>674</v>
      </c>
    </row>
    <row r="59" spans="1:4" x14ac:dyDescent="0.25">
      <c r="A59" s="13" t="s">
        <v>136</v>
      </c>
      <c r="B59" s="13" t="s">
        <v>144</v>
      </c>
      <c r="C59" s="13" t="s">
        <v>142</v>
      </c>
      <c r="D59" s="13">
        <v>815</v>
      </c>
    </row>
    <row r="60" spans="1:4" x14ac:dyDescent="0.25">
      <c r="A60" s="13" t="s">
        <v>132</v>
      </c>
      <c r="B60" s="13" t="s">
        <v>144</v>
      </c>
      <c r="C60" s="13" t="s">
        <v>143</v>
      </c>
      <c r="D60" s="13">
        <v>205</v>
      </c>
    </row>
    <row r="61" spans="1:4" x14ac:dyDescent="0.25">
      <c r="A61" s="13" t="s">
        <v>136</v>
      </c>
      <c r="B61" s="13" t="s">
        <v>144</v>
      </c>
      <c r="C61" s="13" t="s">
        <v>145</v>
      </c>
      <c r="D61" s="13">
        <v>248</v>
      </c>
    </row>
    <row r="62" spans="1:4" x14ac:dyDescent="0.25">
      <c r="A62" s="13" t="s">
        <v>129</v>
      </c>
      <c r="B62" s="13" t="s">
        <v>130</v>
      </c>
      <c r="C62" s="13" t="s">
        <v>141</v>
      </c>
      <c r="D62" s="13">
        <v>362</v>
      </c>
    </row>
    <row r="63" spans="1:4" x14ac:dyDescent="0.25">
      <c r="A63" s="13" t="s">
        <v>136</v>
      </c>
      <c r="B63" s="13" t="s">
        <v>130</v>
      </c>
      <c r="C63" s="13" t="s">
        <v>146</v>
      </c>
      <c r="D63" s="13">
        <v>736</v>
      </c>
    </row>
    <row r="64" spans="1:4" x14ac:dyDescent="0.25">
      <c r="A64" s="13" t="s">
        <v>132</v>
      </c>
      <c r="B64" s="13" t="s">
        <v>130</v>
      </c>
      <c r="C64" s="13" t="s">
        <v>135</v>
      </c>
      <c r="D64" s="13">
        <v>245</v>
      </c>
    </row>
    <row r="65" spans="1:4" x14ac:dyDescent="0.25">
      <c r="A65" s="13" t="s">
        <v>136</v>
      </c>
      <c r="B65" s="13" t="s">
        <v>130</v>
      </c>
      <c r="C65" s="13" t="s">
        <v>137</v>
      </c>
      <c r="D65" s="13">
        <v>223</v>
      </c>
    </row>
    <row r="66" spans="1:4" x14ac:dyDescent="0.25">
      <c r="A66" s="13" t="s">
        <v>140</v>
      </c>
      <c r="B66" s="13" t="s">
        <v>138</v>
      </c>
      <c r="C66" s="13" t="s">
        <v>139</v>
      </c>
      <c r="D66" s="13">
        <v>273</v>
      </c>
    </row>
    <row r="67" spans="1:4" x14ac:dyDescent="0.25">
      <c r="A67" s="13" t="s">
        <v>136</v>
      </c>
      <c r="B67" s="13" t="s">
        <v>138</v>
      </c>
      <c r="C67" s="13" t="s">
        <v>141</v>
      </c>
      <c r="D67" s="13">
        <v>961</v>
      </c>
    </row>
    <row r="68" spans="1:4" x14ac:dyDescent="0.25">
      <c r="A68" s="13" t="s">
        <v>136</v>
      </c>
      <c r="B68" s="13" t="s">
        <v>138</v>
      </c>
      <c r="C68" s="13" t="s">
        <v>142</v>
      </c>
      <c r="D68" s="13">
        <v>482</v>
      </c>
    </row>
    <row r="69" spans="1:4" x14ac:dyDescent="0.25">
      <c r="A69" s="13" t="s">
        <v>134</v>
      </c>
      <c r="B69" s="13" t="s">
        <v>138</v>
      </c>
      <c r="C69" s="13" t="s">
        <v>143</v>
      </c>
      <c r="D69" s="13">
        <v>19</v>
      </c>
    </row>
    <row r="70" spans="1:4" x14ac:dyDescent="0.25">
      <c r="A70" s="13" t="s">
        <v>129</v>
      </c>
      <c r="B70" s="13" t="s">
        <v>144</v>
      </c>
      <c r="C70" s="13" t="s">
        <v>131</v>
      </c>
      <c r="D70" s="13">
        <v>11</v>
      </c>
    </row>
    <row r="71" spans="1:4" x14ac:dyDescent="0.25">
      <c r="A71" s="13" t="s">
        <v>134</v>
      </c>
      <c r="B71" s="13" t="s">
        <v>144</v>
      </c>
      <c r="C71" s="13" t="s">
        <v>133</v>
      </c>
      <c r="D71" s="13">
        <v>683</v>
      </c>
    </row>
    <row r="72" spans="1:4" x14ac:dyDescent="0.25">
      <c r="A72" s="13" t="s">
        <v>129</v>
      </c>
      <c r="B72" s="13" t="s">
        <v>144</v>
      </c>
      <c r="C72" s="13" t="s">
        <v>135</v>
      </c>
      <c r="D72" s="13">
        <v>527</v>
      </c>
    </row>
    <row r="73" spans="1:4" x14ac:dyDescent="0.25">
      <c r="A73" s="13" t="s">
        <v>129</v>
      </c>
      <c r="B73" s="13" t="s">
        <v>144</v>
      </c>
      <c r="C73" s="13" t="s">
        <v>137</v>
      </c>
      <c r="D73" s="13">
        <v>881</v>
      </c>
    </row>
    <row r="74" spans="1:4" x14ac:dyDescent="0.25">
      <c r="A74" s="13" t="s">
        <v>132</v>
      </c>
      <c r="B74" s="13" t="s">
        <v>130</v>
      </c>
      <c r="C74" s="13" t="s">
        <v>139</v>
      </c>
      <c r="D74" s="13">
        <v>853</v>
      </c>
    </row>
    <row r="75" spans="1:4" x14ac:dyDescent="0.25">
      <c r="A75" s="13" t="s">
        <v>134</v>
      </c>
      <c r="B75" s="13" t="s">
        <v>130</v>
      </c>
      <c r="C75" s="13" t="s">
        <v>141</v>
      </c>
      <c r="D75" s="13">
        <v>803</v>
      </c>
    </row>
    <row r="76" spans="1:4" x14ac:dyDescent="0.25">
      <c r="A76" s="13" t="s">
        <v>132</v>
      </c>
      <c r="B76" s="13" t="s">
        <v>130</v>
      </c>
      <c r="C76" s="13" t="s">
        <v>142</v>
      </c>
      <c r="D76" s="13">
        <v>535</v>
      </c>
    </row>
    <row r="77" spans="1:4" x14ac:dyDescent="0.25">
      <c r="A77" s="13" t="s">
        <v>129</v>
      </c>
      <c r="B77" s="13" t="s">
        <v>130</v>
      </c>
      <c r="C77" s="13" t="s">
        <v>143</v>
      </c>
      <c r="D77" s="13">
        <v>206</v>
      </c>
    </row>
    <row r="78" spans="1:4" x14ac:dyDescent="0.25">
      <c r="A78" s="13" t="s">
        <v>134</v>
      </c>
      <c r="B78" s="13" t="s">
        <v>138</v>
      </c>
      <c r="C78" s="13" t="s">
        <v>131</v>
      </c>
      <c r="D78" s="13">
        <v>475</v>
      </c>
    </row>
    <row r="79" spans="1:4" x14ac:dyDescent="0.25">
      <c r="A79" s="13" t="s">
        <v>140</v>
      </c>
      <c r="B79" s="13" t="s">
        <v>138</v>
      </c>
      <c r="C79" s="13" t="s">
        <v>133</v>
      </c>
      <c r="D79" s="13">
        <v>11</v>
      </c>
    </row>
    <row r="80" spans="1:4" x14ac:dyDescent="0.25">
      <c r="A80" s="13" t="s">
        <v>136</v>
      </c>
      <c r="B80" s="13" t="s">
        <v>138</v>
      </c>
      <c r="C80" s="13" t="s">
        <v>135</v>
      </c>
      <c r="D80" s="13">
        <v>820</v>
      </c>
    </row>
    <row r="81" spans="1:4" x14ac:dyDescent="0.25">
      <c r="A81" s="13" t="s">
        <v>132</v>
      </c>
      <c r="B81" s="13" t="s">
        <v>138</v>
      </c>
      <c r="C81" s="13" t="s">
        <v>137</v>
      </c>
      <c r="D81" s="13">
        <v>568</v>
      </c>
    </row>
    <row r="82" spans="1:4" x14ac:dyDescent="0.25">
      <c r="A82" s="13" t="s">
        <v>136</v>
      </c>
      <c r="B82" s="13" t="s">
        <v>144</v>
      </c>
      <c r="C82" s="13" t="s">
        <v>139</v>
      </c>
      <c r="D82" s="13">
        <v>304</v>
      </c>
    </row>
    <row r="83" spans="1:4" x14ac:dyDescent="0.25">
      <c r="A83" s="13" t="s">
        <v>129</v>
      </c>
      <c r="B83" s="13" t="s">
        <v>144</v>
      </c>
      <c r="C83" s="13" t="s">
        <v>141</v>
      </c>
      <c r="D83" s="13">
        <v>166</v>
      </c>
    </row>
    <row r="84" spans="1:4" x14ac:dyDescent="0.25">
      <c r="A84" s="13" t="s">
        <v>136</v>
      </c>
      <c r="B84" s="13" t="s">
        <v>144</v>
      </c>
      <c r="C84" s="13" t="s">
        <v>142</v>
      </c>
      <c r="D84" s="13">
        <v>653</v>
      </c>
    </row>
    <row r="85" spans="1:4" x14ac:dyDescent="0.25">
      <c r="A85" s="13" t="s">
        <v>134</v>
      </c>
      <c r="B85" s="13" t="s">
        <v>144</v>
      </c>
      <c r="C85" s="13" t="s">
        <v>143</v>
      </c>
      <c r="D85" s="13">
        <v>75</v>
      </c>
    </row>
    <row r="86" spans="1:4" x14ac:dyDescent="0.25">
      <c r="A86" s="13" t="s">
        <v>132</v>
      </c>
      <c r="B86" s="13" t="s">
        <v>130</v>
      </c>
      <c r="C86" s="13" t="s">
        <v>145</v>
      </c>
      <c r="D86" s="13">
        <v>749</v>
      </c>
    </row>
    <row r="87" spans="1:4" x14ac:dyDescent="0.25">
      <c r="A87" s="13" t="s">
        <v>136</v>
      </c>
      <c r="B87" s="13" t="s">
        <v>130</v>
      </c>
      <c r="C87" s="13" t="s">
        <v>141</v>
      </c>
      <c r="D87" s="13">
        <v>257</v>
      </c>
    </row>
    <row r="88" spans="1:4" x14ac:dyDescent="0.25">
      <c r="A88" s="13" t="s">
        <v>134</v>
      </c>
      <c r="B88" s="13" t="s">
        <v>130</v>
      </c>
      <c r="C88" s="13" t="s">
        <v>146</v>
      </c>
      <c r="D88" s="13">
        <v>114</v>
      </c>
    </row>
    <row r="89" spans="1:4" x14ac:dyDescent="0.25">
      <c r="A89" s="13" t="s">
        <v>140</v>
      </c>
      <c r="B89" s="13" t="s">
        <v>130</v>
      </c>
      <c r="C89" s="13" t="s">
        <v>143</v>
      </c>
      <c r="D89" s="13">
        <v>725</v>
      </c>
    </row>
    <row r="90" spans="1:4" x14ac:dyDescent="0.25">
      <c r="A90" s="13" t="s">
        <v>134</v>
      </c>
      <c r="B90" s="13" t="s">
        <v>138</v>
      </c>
      <c r="C90" s="13" t="s">
        <v>145</v>
      </c>
      <c r="D90" s="13">
        <v>640</v>
      </c>
    </row>
    <row r="91" spans="1:4" x14ac:dyDescent="0.25">
      <c r="A91" s="13" t="s">
        <v>134</v>
      </c>
      <c r="B91" s="13" t="s">
        <v>138</v>
      </c>
      <c r="C91" s="13" t="s">
        <v>141</v>
      </c>
      <c r="D91" s="13">
        <v>408</v>
      </c>
    </row>
    <row r="92" spans="1:4" x14ac:dyDescent="0.25">
      <c r="A92" s="13" t="s">
        <v>136</v>
      </c>
      <c r="B92" s="13" t="s">
        <v>138</v>
      </c>
      <c r="C92" s="13" t="s">
        <v>146</v>
      </c>
      <c r="D92" s="13">
        <v>450</v>
      </c>
    </row>
    <row r="93" spans="1:4" x14ac:dyDescent="0.25">
      <c r="A93" s="13" t="s">
        <v>129</v>
      </c>
      <c r="B93" s="13" t="s">
        <v>138</v>
      </c>
      <c r="C93" s="13" t="s">
        <v>131</v>
      </c>
      <c r="D93" s="13">
        <v>376</v>
      </c>
    </row>
    <row r="94" spans="1:4" x14ac:dyDescent="0.25">
      <c r="A94" s="13" t="s">
        <v>129</v>
      </c>
      <c r="B94" s="13" t="s">
        <v>144</v>
      </c>
      <c r="C94" s="13" t="s">
        <v>133</v>
      </c>
      <c r="D94" s="13">
        <v>298</v>
      </c>
    </row>
    <row r="95" spans="1:4" x14ac:dyDescent="0.25">
      <c r="A95" s="13" t="s">
        <v>129</v>
      </c>
      <c r="B95" s="13" t="s">
        <v>144</v>
      </c>
      <c r="C95" s="13" t="s">
        <v>135</v>
      </c>
      <c r="D95" s="13">
        <v>394</v>
      </c>
    </row>
    <row r="96" spans="1:4" x14ac:dyDescent="0.25">
      <c r="A96" s="13" t="s">
        <v>140</v>
      </c>
      <c r="B96" s="13" t="s">
        <v>144</v>
      </c>
      <c r="C96" s="13" t="s">
        <v>137</v>
      </c>
      <c r="D96" s="13">
        <v>547</v>
      </c>
    </row>
    <row r="97" spans="1:4" x14ac:dyDescent="0.25">
      <c r="A97" s="13" t="s">
        <v>134</v>
      </c>
      <c r="B97" s="13" t="s">
        <v>144</v>
      </c>
      <c r="C97" s="13" t="s">
        <v>139</v>
      </c>
      <c r="D97" s="13">
        <v>152</v>
      </c>
    </row>
    <row r="98" spans="1:4" x14ac:dyDescent="0.25">
      <c r="A98" s="13" t="s">
        <v>136</v>
      </c>
      <c r="B98" s="13" t="s">
        <v>130</v>
      </c>
      <c r="C98" s="13" t="s">
        <v>141</v>
      </c>
      <c r="D98" s="13">
        <v>364</v>
      </c>
    </row>
    <row r="99" spans="1:4" x14ac:dyDescent="0.25">
      <c r="A99" s="13" t="s">
        <v>140</v>
      </c>
      <c r="B99" s="13" t="s">
        <v>130</v>
      </c>
      <c r="C99" s="13" t="s">
        <v>142</v>
      </c>
      <c r="D99" s="13">
        <v>740</v>
      </c>
    </row>
    <row r="100" spans="1:4" x14ac:dyDescent="0.25">
      <c r="A100" s="13" t="s">
        <v>136</v>
      </c>
      <c r="B100" s="13" t="s">
        <v>130</v>
      </c>
      <c r="C100" s="13" t="s">
        <v>143</v>
      </c>
      <c r="D100" s="13">
        <v>773</v>
      </c>
    </row>
    <row r="101" spans="1:4" x14ac:dyDescent="0.25">
      <c r="A101" s="13" t="s">
        <v>136</v>
      </c>
      <c r="B101" s="13" t="s">
        <v>130</v>
      </c>
      <c r="C101" s="13" t="s">
        <v>145</v>
      </c>
      <c r="D101" s="13">
        <v>754</v>
      </c>
    </row>
    <row r="102" spans="1:4" x14ac:dyDescent="0.25">
      <c r="A102" s="13" t="s">
        <v>136</v>
      </c>
      <c r="B102" s="13" t="s">
        <v>138</v>
      </c>
      <c r="C102" s="13" t="s">
        <v>141</v>
      </c>
      <c r="D102" s="13">
        <v>613</v>
      </c>
    </row>
    <row r="103" spans="1:4" x14ac:dyDescent="0.25">
      <c r="A103" s="13" t="s">
        <v>129</v>
      </c>
      <c r="B103" s="13" t="s">
        <v>138</v>
      </c>
      <c r="C103" s="13" t="s">
        <v>146</v>
      </c>
      <c r="D103" s="13">
        <v>18</v>
      </c>
    </row>
    <row r="104" spans="1:4" x14ac:dyDescent="0.25">
      <c r="A104" s="13" t="s">
        <v>129</v>
      </c>
      <c r="B104" s="13" t="s">
        <v>138</v>
      </c>
      <c r="C104" s="13" t="s">
        <v>135</v>
      </c>
      <c r="D104" s="13">
        <v>83</v>
      </c>
    </row>
    <row r="105" spans="1:4" x14ac:dyDescent="0.25">
      <c r="A105" s="13" t="s">
        <v>132</v>
      </c>
      <c r="B105" s="13" t="s">
        <v>138</v>
      </c>
      <c r="C105" s="13" t="s">
        <v>137</v>
      </c>
      <c r="D105" s="13">
        <v>949</v>
      </c>
    </row>
    <row r="106" spans="1:4" x14ac:dyDescent="0.25">
      <c r="A106" s="13" t="s">
        <v>136</v>
      </c>
      <c r="B106" s="13" t="s">
        <v>144</v>
      </c>
      <c r="C106" s="13" t="s">
        <v>139</v>
      </c>
      <c r="D106" s="13">
        <v>257</v>
      </c>
    </row>
    <row r="107" spans="1:4" x14ac:dyDescent="0.25">
      <c r="A107" s="13" t="s">
        <v>134</v>
      </c>
      <c r="B107" s="13" t="s">
        <v>144</v>
      </c>
      <c r="C107" s="13" t="s">
        <v>141</v>
      </c>
      <c r="D107" s="13">
        <v>148</v>
      </c>
    </row>
    <row r="108" spans="1:4" x14ac:dyDescent="0.25">
      <c r="A108" s="13" t="s">
        <v>129</v>
      </c>
      <c r="B108" s="13" t="s">
        <v>144</v>
      </c>
      <c r="C108" s="13" t="s">
        <v>142</v>
      </c>
      <c r="D108" s="13">
        <v>801</v>
      </c>
    </row>
    <row r="109" spans="1:4" x14ac:dyDescent="0.25">
      <c r="A109" s="13" t="s">
        <v>134</v>
      </c>
      <c r="B109" s="13" t="s">
        <v>144</v>
      </c>
      <c r="C109" s="13" t="s">
        <v>143</v>
      </c>
      <c r="D109" s="13">
        <v>689</v>
      </c>
    </row>
    <row r="110" spans="1:4" x14ac:dyDescent="0.25">
      <c r="A110" s="13" t="s">
        <v>140</v>
      </c>
      <c r="B110" s="13" t="s">
        <v>130</v>
      </c>
      <c r="C110" s="13" t="s">
        <v>145</v>
      </c>
      <c r="D110" s="13">
        <v>679</v>
      </c>
    </row>
    <row r="111" spans="1:4" x14ac:dyDescent="0.25">
      <c r="A111" s="13" t="s">
        <v>134</v>
      </c>
      <c r="B111" s="13" t="s">
        <v>130</v>
      </c>
      <c r="C111" s="13" t="s">
        <v>141</v>
      </c>
      <c r="D111" s="13">
        <v>949</v>
      </c>
    </row>
    <row r="112" spans="1:4" x14ac:dyDescent="0.25">
      <c r="A112" s="13" t="s">
        <v>132</v>
      </c>
      <c r="B112" s="13" t="s">
        <v>130</v>
      </c>
      <c r="C112" s="13" t="s">
        <v>146</v>
      </c>
      <c r="D112" s="13">
        <v>699</v>
      </c>
    </row>
    <row r="113" spans="1:4" x14ac:dyDescent="0.25">
      <c r="A113" s="13" t="s">
        <v>136</v>
      </c>
      <c r="B113" s="13" t="s">
        <v>130</v>
      </c>
      <c r="C113" s="13" t="s">
        <v>147</v>
      </c>
      <c r="D113" s="13">
        <v>548</v>
      </c>
    </row>
    <row r="114" spans="1:4" x14ac:dyDescent="0.25">
      <c r="A114" s="13" t="s">
        <v>132</v>
      </c>
      <c r="B114" s="13" t="s">
        <v>138</v>
      </c>
      <c r="C114" s="13" t="s">
        <v>148</v>
      </c>
      <c r="D114" s="13">
        <v>524</v>
      </c>
    </row>
    <row r="115" spans="1:4" x14ac:dyDescent="0.25">
      <c r="A115" s="13" t="s">
        <v>140</v>
      </c>
      <c r="B115" s="13" t="s">
        <v>138</v>
      </c>
      <c r="C115" s="13" t="s">
        <v>149</v>
      </c>
      <c r="D115" s="13">
        <v>872</v>
      </c>
    </row>
    <row r="116" spans="1:4" x14ac:dyDescent="0.25">
      <c r="A116" s="13" t="s">
        <v>129</v>
      </c>
      <c r="B116" s="13" t="s">
        <v>138</v>
      </c>
      <c r="C116" s="13" t="s">
        <v>150</v>
      </c>
      <c r="D116" s="13">
        <v>496</v>
      </c>
    </row>
    <row r="117" spans="1:4" x14ac:dyDescent="0.25">
      <c r="A117" s="13" t="s">
        <v>140</v>
      </c>
      <c r="B117" s="13" t="s">
        <v>138</v>
      </c>
      <c r="C117" s="13" t="s">
        <v>151</v>
      </c>
      <c r="D117" s="13">
        <v>574</v>
      </c>
    </row>
    <row r="118" spans="1:4" x14ac:dyDescent="0.25">
      <c r="A118" s="13" t="s">
        <v>132</v>
      </c>
      <c r="B118" s="13" t="s">
        <v>144</v>
      </c>
      <c r="C118" s="13" t="s">
        <v>135</v>
      </c>
      <c r="D118" s="13">
        <v>877</v>
      </c>
    </row>
    <row r="119" spans="1:4" x14ac:dyDescent="0.25">
      <c r="A119" s="13" t="s">
        <v>134</v>
      </c>
      <c r="B119" s="13" t="s">
        <v>144</v>
      </c>
      <c r="C119" s="13" t="s">
        <v>152</v>
      </c>
      <c r="D119" s="13">
        <v>100</v>
      </c>
    </row>
    <row r="120" spans="1:4" x14ac:dyDescent="0.25">
      <c r="A120" s="13" t="s">
        <v>129</v>
      </c>
      <c r="B120" s="13" t="s">
        <v>144</v>
      </c>
      <c r="C120" s="13" t="s">
        <v>153</v>
      </c>
      <c r="D120" s="13">
        <v>466</v>
      </c>
    </row>
    <row r="121" spans="1:4" x14ac:dyDescent="0.25">
      <c r="A121" s="13" t="s">
        <v>134</v>
      </c>
      <c r="B121" s="13" t="s">
        <v>144</v>
      </c>
      <c r="C121" s="13" t="s">
        <v>154</v>
      </c>
      <c r="D121" s="13">
        <v>391</v>
      </c>
    </row>
    <row r="122" spans="1:4" x14ac:dyDescent="0.25">
      <c r="A122" s="13" t="s">
        <v>134</v>
      </c>
      <c r="B122" s="13" t="s">
        <v>130</v>
      </c>
      <c r="C122" s="13" t="s">
        <v>131</v>
      </c>
      <c r="D122" s="13">
        <v>478</v>
      </c>
    </row>
    <row r="123" spans="1:4" x14ac:dyDescent="0.25">
      <c r="A123" s="13" t="s">
        <v>132</v>
      </c>
      <c r="B123" s="13" t="s">
        <v>130</v>
      </c>
      <c r="C123" s="13" t="s">
        <v>133</v>
      </c>
      <c r="D123" s="13">
        <v>955</v>
      </c>
    </row>
    <row r="124" spans="1:4" x14ac:dyDescent="0.25">
      <c r="A124" s="13" t="s">
        <v>132</v>
      </c>
      <c r="B124" s="13" t="s">
        <v>130</v>
      </c>
      <c r="C124" s="13" t="s">
        <v>135</v>
      </c>
      <c r="D124" s="13">
        <v>167</v>
      </c>
    </row>
    <row r="125" spans="1:4" x14ac:dyDescent="0.25">
      <c r="A125" s="13" t="s">
        <v>129</v>
      </c>
      <c r="B125" s="13" t="s">
        <v>130</v>
      </c>
      <c r="C125" s="13" t="s">
        <v>137</v>
      </c>
      <c r="D125" s="13">
        <v>982</v>
      </c>
    </row>
    <row r="126" spans="1:4" x14ac:dyDescent="0.25">
      <c r="A126" s="13" t="s">
        <v>134</v>
      </c>
      <c r="B126" s="13" t="s">
        <v>138</v>
      </c>
      <c r="C126" s="13" t="s">
        <v>139</v>
      </c>
      <c r="D126" s="13">
        <v>412</v>
      </c>
    </row>
    <row r="127" spans="1:4" x14ac:dyDescent="0.25">
      <c r="A127" s="13" t="s">
        <v>136</v>
      </c>
      <c r="B127" s="13" t="s">
        <v>138</v>
      </c>
      <c r="C127" s="13" t="s">
        <v>141</v>
      </c>
      <c r="D127" s="13">
        <v>869</v>
      </c>
    </row>
    <row r="128" spans="1:4" x14ac:dyDescent="0.25">
      <c r="A128" s="13" t="s">
        <v>129</v>
      </c>
      <c r="B128" s="13" t="s">
        <v>138</v>
      </c>
      <c r="C128" s="13" t="s">
        <v>142</v>
      </c>
      <c r="D128" s="13">
        <v>414</v>
      </c>
    </row>
    <row r="129" spans="1:4" x14ac:dyDescent="0.25">
      <c r="A129" s="13" t="s">
        <v>136</v>
      </c>
      <c r="B129" s="13" t="s">
        <v>138</v>
      </c>
      <c r="C129" s="13" t="s">
        <v>143</v>
      </c>
      <c r="D129" s="13">
        <v>984</v>
      </c>
    </row>
    <row r="130" spans="1:4" x14ac:dyDescent="0.25">
      <c r="A130" s="13" t="s">
        <v>140</v>
      </c>
      <c r="B130" s="13" t="s">
        <v>144</v>
      </c>
      <c r="C130" s="13" t="s">
        <v>145</v>
      </c>
      <c r="D130" s="13">
        <v>666</v>
      </c>
    </row>
    <row r="131" spans="1:4" x14ac:dyDescent="0.25">
      <c r="A131" s="13" t="s">
        <v>140</v>
      </c>
      <c r="B131" s="13" t="s">
        <v>144</v>
      </c>
      <c r="C131" s="13" t="s">
        <v>141</v>
      </c>
      <c r="D131" s="13">
        <v>313</v>
      </c>
    </row>
    <row r="132" spans="1:4" x14ac:dyDescent="0.25">
      <c r="A132" s="13" t="s">
        <v>140</v>
      </c>
      <c r="B132" s="13" t="s">
        <v>144</v>
      </c>
      <c r="C132" s="13" t="s">
        <v>146</v>
      </c>
      <c r="D132" s="13">
        <v>772</v>
      </c>
    </row>
    <row r="133" spans="1:4" x14ac:dyDescent="0.25">
      <c r="A133" s="13" t="s">
        <v>140</v>
      </c>
      <c r="B133" s="13" t="s">
        <v>144</v>
      </c>
      <c r="C133" s="13" t="s">
        <v>147</v>
      </c>
      <c r="D133" s="13">
        <v>937</v>
      </c>
    </row>
    <row r="134" spans="1:4" x14ac:dyDescent="0.25">
      <c r="A134" s="13" t="s">
        <v>140</v>
      </c>
      <c r="B134" s="13" t="s">
        <v>130</v>
      </c>
      <c r="C134" s="13" t="s">
        <v>148</v>
      </c>
      <c r="D134" s="13">
        <v>992</v>
      </c>
    </row>
    <row r="135" spans="1:4" x14ac:dyDescent="0.25">
      <c r="A135" s="13" t="s">
        <v>132</v>
      </c>
      <c r="B135" s="13" t="s">
        <v>130</v>
      </c>
      <c r="C135" s="13" t="s">
        <v>149</v>
      </c>
      <c r="D135" s="13">
        <v>956</v>
      </c>
    </row>
    <row r="136" spans="1:4" x14ac:dyDescent="0.25">
      <c r="A136" s="13" t="s">
        <v>132</v>
      </c>
      <c r="B136" s="13" t="s">
        <v>130</v>
      </c>
      <c r="C136" s="13" t="s">
        <v>150</v>
      </c>
      <c r="D136" s="13">
        <v>944</v>
      </c>
    </row>
    <row r="137" spans="1:4" x14ac:dyDescent="0.25">
      <c r="A137" s="13" t="s">
        <v>132</v>
      </c>
      <c r="B137" s="13" t="s">
        <v>130</v>
      </c>
      <c r="C137" s="13" t="s">
        <v>151</v>
      </c>
      <c r="D137" s="13">
        <v>44</v>
      </c>
    </row>
    <row r="138" spans="1:4" x14ac:dyDescent="0.25">
      <c r="A138" s="13" t="s">
        <v>136</v>
      </c>
      <c r="B138" s="13" t="s">
        <v>138</v>
      </c>
      <c r="C138" s="13" t="s">
        <v>135</v>
      </c>
      <c r="D138" s="13">
        <v>926</v>
      </c>
    </row>
    <row r="139" spans="1:4" x14ac:dyDescent="0.25">
      <c r="A139" s="13" t="s">
        <v>140</v>
      </c>
      <c r="B139" s="13" t="s">
        <v>138</v>
      </c>
      <c r="C139" s="13" t="s">
        <v>152</v>
      </c>
      <c r="D139" s="13">
        <v>891</v>
      </c>
    </row>
    <row r="140" spans="1:4" x14ac:dyDescent="0.25">
      <c r="A140" s="13" t="s">
        <v>132</v>
      </c>
      <c r="B140" s="13" t="s">
        <v>138</v>
      </c>
      <c r="C140" s="13" t="s">
        <v>153</v>
      </c>
      <c r="D140" s="13">
        <v>306</v>
      </c>
    </row>
    <row r="141" spans="1:4" x14ac:dyDescent="0.25">
      <c r="A141" s="13" t="s">
        <v>134</v>
      </c>
      <c r="B141" s="13" t="s">
        <v>138</v>
      </c>
      <c r="C141" s="13" t="s">
        <v>154</v>
      </c>
      <c r="D141" s="13">
        <v>864</v>
      </c>
    </row>
    <row r="142" spans="1:4" x14ac:dyDescent="0.25">
      <c r="A142" s="13" t="s">
        <v>134</v>
      </c>
      <c r="B142" s="13" t="s">
        <v>144</v>
      </c>
      <c r="C142" s="13" t="s">
        <v>131</v>
      </c>
      <c r="D142" s="13">
        <v>197</v>
      </c>
    </row>
    <row r="143" spans="1:4" x14ac:dyDescent="0.25">
      <c r="A143" s="13" t="s">
        <v>132</v>
      </c>
      <c r="B143" s="13" t="s">
        <v>144</v>
      </c>
      <c r="C143" s="13" t="s">
        <v>133</v>
      </c>
      <c r="D143" s="13">
        <v>585</v>
      </c>
    </row>
    <row r="144" spans="1:4" x14ac:dyDescent="0.25">
      <c r="A144" s="13" t="s">
        <v>140</v>
      </c>
      <c r="B144" s="13" t="s">
        <v>144</v>
      </c>
      <c r="C144" s="13" t="s">
        <v>135</v>
      </c>
      <c r="D144" s="13">
        <v>263</v>
      </c>
    </row>
    <row r="145" spans="1:4" x14ac:dyDescent="0.25">
      <c r="A145" s="13" t="s">
        <v>140</v>
      </c>
      <c r="B145" s="13" t="s">
        <v>144</v>
      </c>
      <c r="C145" s="13" t="s">
        <v>137</v>
      </c>
      <c r="D145" s="13">
        <v>420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4"/>
  <sheetViews>
    <sheetView workbookViewId="0">
      <selection activeCell="C2" activeCellId="1" sqref="G5 C2"/>
    </sheetView>
  </sheetViews>
  <sheetFormatPr defaultRowHeight="15" x14ac:dyDescent="0.25"/>
  <cols>
    <col min="1" max="1" width="11.28515625" bestFit="1" customWidth="1"/>
    <col min="2" max="2" width="12.5703125" bestFit="1" customWidth="1"/>
    <col min="4" max="4" width="10.7109375" bestFit="1" customWidth="1"/>
    <col min="6" max="6" width="59.5703125" bestFit="1" customWidth="1"/>
    <col min="7" max="7" width="11.42578125" customWidth="1"/>
  </cols>
  <sheetData>
    <row r="1" spans="1:7" x14ac:dyDescent="0.25">
      <c r="A1" s="69" t="s">
        <v>164</v>
      </c>
      <c r="B1" s="69" t="s">
        <v>165</v>
      </c>
      <c r="C1" s="69" t="s">
        <v>166</v>
      </c>
      <c r="D1" s="69" t="s">
        <v>167</v>
      </c>
      <c r="E1" s="70"/>
      <c r="F1" s="69" t="s">
        <v>168</v>
      </c>
      <c r="G1" s="69" t="s">
        <v>169</v>
      </c>
    </row>
    <row r="2" spans="1:7" x14ac:dyDescent="0.25">
      <c r="A2" s="71" t="s">
        <v>131</v>
      </c>
      <c r="B2" s="71">
        <v>8</v>
      </c>
      <c r="C2" s="72">
        <v>1592</v>
      </c>
      <c r="D2" s="72">
        <v>562.77199999999993</v>
      </c>
      <c r="E2" s="70"/>
      <c r="F2" s="73" t="s">
        <v>170</v>
      </c>
      <c r="G2" s="74">
        <f>SUMPRODUCT((LEFT($A$2:$A$14,3)="Pri")*(C2:C14))</f>
        <v>7801</v>
      </c>
    </row>
    <row r="3" spans="1:7" x14ac:dyDescent="0.25">
      <c r="A3" s="75" t="s">
        <v>171</v>
      </c>
      <c r="B3" s="75">
        <v>8</v>
      </c>
      <c r="C3" s="76">
        <v>1088</v>
      </c>
      <c r="D3" s="76">
        <v>396.9024</v>
      </c>
      <c r="E3" s="70"/>
      <c r="F3" s="77" t="s">
        <v>172</v>
      </c>
      <c r="G3" s="78">
        <f>COUNTIF($A$2:$A$14,"?????")</f>
        <v>4</v>
      </c>
    </row>
    <row r="4" spans="1:7" x14ac:dyDescent="0.25">
      <c r="A4" s="71" t="s">
        <v>154</v>
      </c>
      <c r="B4" s="71">
        <v>8</v>
      </c>
      <c r="C4" s="72">
        <v>1680</v>
      </c>
      <c r="D4" s="72">
        <v>752.64</v>
      </c>
      <c r="E4" s="70"/>
      <c r="F4" s="73" t="s">
        <v>173</v>
      </c>
      <c r="G4" s="74">
        <f>SUMPRODUCT((RIGHT($A$2:$A$14,1)="t")*(C2:C14))</f>
        <v>2266</v>
      </c>
    </row>
    <row r="5" spans="1:7" x14ac:dyDescent="0.25">
      <c r="A5" s="75" t="s">
        <v>174</v>
      </c>
      <c r="B5" s="75">
        <v>9</v>
      </c>
      <c r="C5" s="76">
        <v>2133</v>
      </c>
      <c r="D5" s="76">
        <v>922.73579999999993</v>
      </c>
      <c r="E5" s="70"/>
      <c r="F5" s="79" t="s">
        <v>175</v>
      </c>
      <c r="G5" s="79">
        <f>SUMPRODUCT(($A$2:$A$14="Lalita")*(C2:C14))</f>
        <v>5628</v>
      </c>
    </row>
    <row r="6" spans="1:7" x14ac:dyDescent="0.25">
      <c r="A6" s="71" t="s">
        <v>154</v>
      </c>
      <c r="B6" s="71">
        <v>10</v>
      </c>
      <c r="C6" s="72">
        <v>1610</v>
      </c>
      <c r="D6" s="72">
        <v>579.11700000000008</v>
      </c>
      <c r="E6" s="70"/>
      <c r="F6" s="80"/>
      <c r="G6" s="80"/>
    </row>
    <row r="7" spans="1:7" x14ac:dyDescent="0.25">
      <c r="A7" s="75" t="s">
        <v>176</v>
      </c>
      <c r="B7" s="75">
        <v>10</v>
      </c>
      <c r="C7" s="76">
        <v>1540</v>
      </c>
      <c r="D7" s="76">
        <v>569.79999999999995</v>
      </c>
      <c r="E7" s="70"/>
      <c r="F7" s="80"/>
      <c r="G7" s="80"/>
    </row>
    <row r="8" spans="1:7" x14ac:dyDescent="0.25">
      <c r="A8" s="71" t="s">
        <v>177</v>
      </c>
      <c r="B8" s="71">
        <v>7</v>
      </c>
      <c r="C8" s="72">
        <v>1316</v>
      </c>
      <c r="D8" s="72">
        <v>427.56840000000005</v>
      </c>
      <c r="E8" s="70"/>
      <c r="F8" s="80"/>
      <c r="G8" s="80"/>
    </row>
    <row r="9" spans="1:7" x14ac:dyDescent="0.25">
      <c r="A9" s="75" t="s">
        <v>178</v>
      </c>
      <c r="B9" s="75">
        <v>7</v>
      </c>
      <c r="C9" s="76">
        <v>1799</v>
      </c>
      <c r="D9" s="76">
        <v>708.80600000000004</v>
      </c>
      <c r="E9" s="70"/>
      <c r="F9" s="80"/>
      <c r="G9" s="80"/>
    </row>
    <row r="10" spans="1:7" x14ac:dyDescent="0.25">
      <c r="A10" s="71" t="s">
        <v>154</v>
      </c>
      <c r="B10" s="71">
        <v>8</v>
      </c>
      <c r="C10" s="72">
        <v>1624</v>
      </c>
      <c r="D10" s="72">
        <v>621.3424</v>
      </c>
      <c r="E10" s="70"/>
      <c r="F10" s="80"/>
      <c r="G10" s="80"/>
    </row>
    <row r="11" spans="1:7" x14ac:dyDescent="0.25">
      <c r="A11" s="75" t="s">
        <v>141</v>
      </c>
      <c r="B11" s="75">
        <v>6</v>
      </c>
      <c r="C11" s="76">
        <v>726</v>
      </c>
      <c r="D11" s="76">
        <v>235.87740000000002</v>
      </c>
      <c r="E11" s="70"/>
      <c r="F11" s="80"/>
      <c r="G11" s="80"/>
    </row>
    <row r="12" spans="1:7" x14ac:dyDescent="0.25">
      <c r="A12" s="71" t="s">
        <v>179</v>
      </c>
      <c r="B12" s="71">
        <v>9</v>
      </c>
      <c r="C12" s="72">
        <v>2277</v>
      </c>
      <c r="D12" s="72">
        <v>965.67569999999989</v>
      </c>
      <c r="E12" s="70"/>
      <c r="F12" s="70"/>
      <c r="G12" s="81"/>
    </row>
    <row r="13" spans="1:7" x14ac:dyDescent="0.25">
      <c r="A13" s="75" t="s">
        <v>154</v>
      </c>
      <c r="B13" s="75">
        <v>6</v>
      </c>
      <c r="C13" s="76">
        <v>714</v>
      </c>
      <c r="D13" s="76">
        <v>220.983</v>
      </c>
      <c r="E13" s="70"/>
      <c r="F13" s="70"/>
      <c r="G13" s="81"/>
    </row>
    <row r="14" spans="1:7" x14ac:dyDescent="0.25">
      <c r="A14" s="71" t="s">
        <v>148</v>
      </c>
      <c r="B14" s="71">
        <v>9</v>
      </c>
      <c r="C14" s="72">
        <v>2682</v>
      </c>
      <c r="D14" s="72">
        <v>1023.183</v>
      </c>
      <c r="E14" s="70"/>
      <c r="F14" s="80"/>
      <c r="G14" s="8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R34"/>
  <sheetViews>
    <sheetView topLeftCell="A18" workbookViewId="0">
      <selection activeCell="J34" sqref="J34:K34"/>
    </sheetView>
  </sheetViews>
  <sheetFormatPr defaultRowHeight="15" x14ac:dyDescent="0.25"/>
  <cols>
    <col min="3" max="3" width="18.5703125" bestFit="1" customWidth="1"/>
    <col min="5" max="5" width="13.140625" customWidth="1"/>
    <col min="8" max="8" width="17.42578125" bestFit="1" customWidth="1"/>
    <col min="12" max="12" width="9.140625" customWidth="1"/>
    <col min="14" max="14" width="19" customWidth="1"/>
    <col min="17" max="17" width="17.5703125" customWidth="1"/>
  </cols>
  <sheetData>
    <row r="1" spans="1:18" ht="15.75" x14ac:dyDescent="0.3">
      <c r="A1" s="82" t="s">
        <v>180</v>
      </c>
      <c r="B1" s="82" t="s">
        <v>181</v>
      </c>
      <c r="C1" s="82" t="s">
        <v>182</v>
      </c>
      <c r="D1" s="82" t="s">
        <v>181</v>
      </c>
      <c r="H1" s="82" t="s">
        <v>193</v>
      </c>
    </row>
    <row r="2" spans="1:18" ht="15.75" x14ac:dyDescent="0.3">
      <c r="A2" s="83" t="s">
        <v>183</v>
      </c>
      <c r="B2" s="84">
        <v>350</v>
      </c>
      <c r="C2" s="85" t="s">
        <v>184</v>
      </c>
      <c r="D2" s="84">
        <v>10</v>
      </c>
      <c r="H2" s="83" t="s">
        <v>183</v>
      </c>
      <c r="M2" s="86" t="s">
        <v>195</v>
      </c>
    </row>
    <row r="3" spans="1:18" ht="15.75" x14ac:dyDescent="0.3">
      <c r="A3" s="83" t="s">
        <v>185</v>
      </c>
      <c r="B3" s="84">
        <v>370</v>
      </c>
      <c r="C3" s="85" t="s">
        <v>186</v>
      </c>
      <c r="D3" s="84">
        <v>40</v>
      </c>
      <c r="H3" s="85" t="s">
        <v>186</v>
      </c>
      <c r="M3" s="87">
        <v>35</v>
      </c>
    </row>
    <row r="4" spans="1:18" ht="15.75" x14ac:dyDescent="0.3">
      <c r="A4" s="83" t="s">
        <v>187</v>
      </c>
      <c r="B4" s="84">
        <v>450</v>
      </c>
      <c r="C4" s="85" t="s">
        <v>184</v>
      </c>
      <c r="D4" s="84">
        <v>30</v>
      </c>
      <c r="M4" s="87">
        <v>45</v>
      </c>
    </row>
    <row r="5" spans="1:18" ht="15.75" x14ac:dyDescent="0.3">
      <c r="A5" s="83" t="s">
        <v>183</v>
      </c>
      <c r="B5" s="84">
        <v>350</v>
      </c>
      <c r="C5" s="85" t="s">
        <v>188</v>
      </c>
      <c r="D5" s="84">
        <v>40</v>
      </c>
      <c r="M5" s="87">
        <v>65</v>
      </c>
    </row>
    <row r="6" spans="1:18" ht="15.75" x14ac:dyDescent="0.3">
      <c r="A6" s="83" t="s">
        <v>189</v>
      </c>
      <c r="B6" s="84">
        <v>400</v>
      </c>
      <c r="C6" s="85" t="s">
        <v>190</v>
      </c>
      <c r="D6" s="84">
        <v>30</v>
      </c>
      <c r="M6" s="87">
        <v>67</v>
      </c>
    </row>
    <row r="7" spans="1:18" ht="15.75" x14ac:dyDescent="0.3">
      <c r="A7" s="83" t="s">
        <v>191</v>
      </c>
      <c r="B7" s="84">
        <v>360</v>
      </c>
      <c r="C7" s="85" t="s">
        <v>186</v>
      </c>
      <c r="D7" s="84">
        <v>40</v>
      </c>
      <c r="M7" s="87">
        <v>56</v>
      </c>
    </row>
    <row r="8" spans="1:18" x14ac:dyDescent="0.25">
      <c r="A8" s="83" t="s">
        <v>183</v>
      </c>
      <c r="B8" s="84">
        <v>370</v>
      </c>
      <c r="M8" s="87">
        <v>87</v>
      </c>
    </row>
    <row r="9" spans="1:18" x14ac:dyDescent="0.25">
      <c r="A9" s="83" t="s">
        <v>192</v>
      </c>
      <c r="B9" s="84">
        <v>320</v>
      </c>
      <c r="M9" s="87">
        <v>34</v>
      </c>
    </row>
    <row r="10" spans="1:18" x14ac:dyDescent="0.25">
      <c r="M10" s="87">
        <v>25</v>
      </c>
    </row>
    <row r="11" spans="1:18" x14ac:dyDescent="0.25">
      <c r="M11" s="87">
        <v>27</v>
      </c>
    </row>
    <row r="14" spans="1:18" ht="16.5" thickBot="1" x14ac:dyDescent="0.35">
      <c r="B14" s="124" t="s">
        <v>194</v>
      </c>
      <c r="C14" s="124"/>
      <c r="D14" s="124"/>
      <c r="E14" s="124"/>
      <c r="F14" s="43">
        <f>SUMPRODUCT(($A$2:$A$9=H2)*(B2:B9))+SUMPRODUCT(($C$2:$C$7=H3)*(D2:D7))</f>
        <v>1150</v>
      </c>
    </row>
    <row r="15" spans="1:18" ht="16.5" thickBot="1" x14ac:dyDescent="0.35">
      <c r="N15" s="125" t="s">
        <v>196</v>
      </c>
      <c r="O15" s="126"/>
      <c r="P15" s="126"/>
      <c r="Q15" s="127"/>
      <c r="R15" s="43">
        <f>SUMPRODUCT((LARGE($M$3:$M$11,{1;2})))</f>
        <v>154</v>
      </c>
    </row>
    <row r="18" spans="3:7" ht="15.75" x14ac:dyDescent="0.3">
      <c r="C18" s="88" t="s">
        <v>197</v>
      </c>
      <c r="D18" s="88" t="s">
        <v>89</v>
      </c>
      <c r="E18" s="88" t="s">
        <v>198</v>
      </c>
      <c r="F18" s="88" t="s">
        <v>91</v>
      </c>
      <c r="G18" s="88" t="s">
        <v>199</v>
      </c>
    </row>
    <row r="19" spans="3:7" x14ac:dyDescent="0.25">
      <c r="C19" s="89">
        <v>101</v>
      </c>
      <c r="D19" s="87" t="s">
        <v>200</v>
      </c>
      <c r="E19" s="89" t="s">
        <v>201</v>
      </c>
      <c r="F19" s="87">
        <v>125</v>
      </c>
      <c r="G19" s="89">
        <v>15600</v>
      </c>
    </row>
    <row r="20" spans="3:7" x14ac:dyDescent="0.25">
      <c r="C20" s="89">
        <v>102</v>
      </c>
      <c r="D20" s="87" t="s">
        <v>202</v>
      </c>
      <c r="E20" s="89" t="s">
        <v>203</v>
      </c>
      <c r="F20" s="87">
        <v>135</v>
      </c>
      <c r="G20" s="89">
        <v>13200</v>
      </c>
    </row>
    <row r="21" spans="3:7" x14ac:dyDescent="0.25">
      <c r="C21" s="89">
        <v>103</v>
      </c>
      <c r="D21" s="87" t="s">
        <v>204</v>
      </c>
      <c r="E21" s="89" t="s">
        <v>205</v>
      </c>
      <c r="F21" s="87">
        <v>140</v>
      </c>
      <c r="G21" s="89">
        <v>14300</v>
      </c>
    </row>
    <row r="22" spans="3:7" x14ac:dyDescent="0.25">
      <c r="C22" s="89">
        <v>104</v>
      </c>
      <c r="D22" s="87" t="s">
        <v>200</v>
      </c>
      <c r="E22" s="89" t="s">
        <v>206</v>
      </c>
      <c r="F22" s="87">
        <v>132</v>
      </c>
      <c r="G22" s="89">
        <v>15600</v>
      </c>
    </row>
    <row r="23" spans="3:7" ht="15.75" x14ac:dyDescent="0.3">
      <c r="C23" s="89">
        <v>105</v>
      </c>
      <c r="D23" s="87" t="s">
        <v>202</v>
      </c>
      <c r="E23" s="90" t="s">
        <v>207</v>
      </c>
      <c r="F23" s="87">
        <v>134</v>
      </c>
      <c r="G23" s="89">
        <v>17800</v>
      </c>
    </row>
    <row r="24" spans="3:7" x14ac:dyDescent="0.25">
      <c r="C24" s="89">
        <v>106</v>
      </c>
      <c r="D24" s="87" t="s">
        <v>208</v>
      </c>
      <c r="E24" s="89" t="s">
        <v>209</v>
      </c>
      <c r="F24" s="87">
        <v>156</v>
      </c>
      <c r="G24" s="89">
        <v>11979</v>
      </c>
    </row>
    <row r="25" spans="3:7" x14ac:dyDescent="0.25">
      <c r="C25" s="89">
        <v>107</v>
      </c>
      <c r="D25" s="87" t="s">
        <v>200</v>
      </c>
      <c r="E25" s="89" t="s">
        <v>203</v>
      </c>
      <c r="F25" s="87">
        <v>178</v>
      </c>
      <c r="G25" s="89">
        <v>13456</v>
      </c>
    </row>
    <row r="26" spans="3:7" x14ac:dyDescent="0.25">
      <c r="C26" s="89">
        <v>108</v>
      </c>
      <c r="D26" s="87" t="s">
        <v>200</v>
      </c>
      <c r="E26" s="89" t="s">
        <v>201</v>
      </c>
      <c r="F26" s="87">
        <v>166</v>
      </c>
      <c r="G26" s="89">
        <v>13452</v>
      </c>
    </row>
    <row r="27" spans="3:7" x14ac:dyDescent="0.25">
      <c r="C27" s="89">
        <v>109</v>
      </c>
      <c r="D27" s="87" t="s">
        <v>208</v>
      </c>
      <c r="E27" s="89" t="s">
        <v>203</v>
      </c>
      <c r="F27" s="87">
        <v>122</v>
      </c>
      <c r="G27" s="89">
        <v>16666</v>
      </c>
    </row>
    <row r="28" spans="3:7" x14ac:dyDescent="0.25">
      <c r="C28" s="89">
        <v>110</v>
      </c>
      <c r="D28" s="87" t="s">
        <v>204</v>
      </c>
      <c r="E28" s="89" t="s">
        <v>209</v>
      </c>
      <c r="F28" s="87">
        <v>155</v>
      </c>
      <c r="G28" s="89">
        <v>14323</v>
      </c>
    </row>
    <row r="29" spans="3:7" ht="15.75" thickBot="1" x14ac:dyDescent="0.3"/>
    <row r="30" spans="3:7" x14ac:dyDescent="0.25">
      <c r="C30" s="128" t="s">
        <v>210</v>
      </c>
      <c r="D30" s="129"/>
      <c r="E30" s="129"/>
      <c r="F30" s="129"/>
      <c r="G30" s="130"/>
    </row>
    <row r="31" spans="3:7" ht="15.75" thickBot="1" x14ac:dyDescent="0.3">
      <c r="C31" s="131"/>
      <c r="D31" s="132"/>
      <c r="E31" s="132"/>
      <c r="F31" s="132"/>
      <c r="G31" s="133"/>
    </row>
    <row r="33" spans="8:11" ht="15.75" x14ac:dyDescent="0.3">
      <c r="H33" s="91" t="s">
        <v>89</v>
      </c>
      <c r="I33" s="91" t="s">
        <v>198</v>
      </c>
      <c r="J33" s="121" t="s">
        <v>91</v>
      </c>
      <c r="K33" s="122"/>
    </row>
    <row r="34" spans="8:11" x14ac:dyDescent="0.25">
      <c r="H34" s="10" t="s">
        <v>202</v>
      </c>
      <c r="I34" s="10" t="s">
        <v>205</v>
      </c>
      <c r="J34" s="123">
        <f>SUMPRODUCT((D19:D28=H34)*(E19:E28=I34)*(F19:F28))</f>
        <v>0</v>
      </c>
      <c r="K34" s="123"/>
    </row>
  </sheetData>
  <mergeCells count="5">
    <mergeCell ref="J33:K33"/>
    <mergeCell ref="J34:K34"/>
    <mergeCell ref="B14:E14"/>
    <mergeCell ref="N15:Q15"/>
    <mergeCell ref="C30:G31"/>
  </mergeCells>
  <dataValidations count="2">
    <dataValidation type="list" allowBlank="1" showInputMessage="1" showErrorMessage="1" sqref="H34">
      <formula1>$D$19:$D$28</formula1>
    </dataValidation>
    <dataValidation type="list" allowBlank="1" showInputMessage="1" showErrorMessage="1" sqref="I34">
      <formula1>$E$19:$E$28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O88"/>
  <sheetViews>
    <sheetView workbookViewId="0"/>
  </sheetViews>
  <sheetFormatPr defaultRowHeight="15" x14ac:dyDescent="0.25"/>
  <cols>
    <col min="1" max="1" width="13.28515625" bestFit="1" customWidth="1"/>
    <col min="2" max="2" width="14" customWidth="1"/>
    <col min="14" max="14" width="10.42578125" bestFit="1" customWidth="1"/>
    <col min="15" max="15" width="13.28515625" bestFit="1" customWidth="1"/>
  </cols>
  <sheetData>
    <row r="1" spans="1:15" x14ac:dyDescent="0.25">
      <c r="A1" s="69" t="s">
        <v>211</v>
      </c>
      <c r="B1" s="69" t="s">
        <v>212</v>
      </c>
      <c r="C1" s="69" t="s">
        <v>89</v>
      </c>
      <c r="D1" s="69" t="s">
        <v>213</v>
      </c>
      <c r="E1" s="69" t="s">
        <v>214</v>
      </c>
      <c r="N1" s="99" t="s">
        <v>212</v>
      </c>
      <c r="O1" s="99" t="s">
        <v>211</v>
      </c>
    </row>
    <row r="2" spans="1:15" ht="18.75" x14ac:dyDescent="0.3">
      <c r="A2" s="92" t="str">
        <f>INDEX($O$2:$O$76,MATCH($B2,$N$2:$N$76,0))</f>
        <v>Rakhi</v>
      </c>
      <c r="B2" s="93">
        <v>1</v>
      </c>
      <c r="C2" s="92" t="s">
        <v>215</v>
      </c>
      <c r="D2" s="92" t="s">
        <v>216</v>
      </c>
      <c r="E2" s="94">
        <v>13811</v>
      </c>
      <c r="N2" s="100">
        <v>71</v>
      </c>
      <c r="O2" s="101" t="s">
        <v>131</v>
      </c>
    </row>
    <row r="3" spans="1:15" ht="18.75" x14ac:dyDescent="0.3">
      <c r="A3" s="92" t="str">
        <f t="shared" ref="A3:A66" si="0">INDEX($O$2:$O$76,MATCH($B3,$N$2:$N$76,0))</f>
        <v>Ashok</v>
      </c>
      <c r="B3" s="95">
        <v>2</v>
      </c>
      <c r="C3" s="96" t="s">
        <v>215</v>
      </c>
      <c r="D3" s="96" t="s">
        <v>216</v>
      </c>
      <c r="E3" s="97">
        <v>14080</v>
      </c>
      <c r="N3" s="102">
        <v>61</v>
      </c>
      <c r="O3" s="103" t="s">
        <v>171</v>
      </c>
    </row>
    <row r="4" spans="1:15" ht="18.75" x14ac:dyDescent="0.3">
      <c r="A4" s="92" t="str">
        <f t="shared" si="0"/>
        <v>Gopal</v>
      </c>
      <c r="B4" s="93">
        <v>3</v>
      </c>
      <c r="C4" s="92" t="s">
        <v>215</v>
      </c>
      <c r="D4" s="92" t="s">
        <v>217</v>
      </c>
      <c r="E4" s="94">
        <v>13536</v>
      </c>
      <c r="N4" s="100">
        <v>51</v>
      </c>
      <c r="O4" s="101" t="s">
        <v>223</v>
      </c>
    </row>
    <row r="5" spans="1:15" ht="18.75" x14ac:dyDescent="0.3">
      <c r="A5" s="92" t="str">
        <f t="shared" si="0"/>
        <v>Raju</v>
      </c>
      <c r="B5" s="95">
        <v>4</v>
      </c>
      <c r="C5" s="96" t="s">
        <v>218</v>
      </c>
      <c r="D5" s="96" t="s">
        <v>216</v>
      </c>
      <c r="E5" s="97">
        <v>14730</v>
      </c>
      <c r="N5" s="102">
        <v>41</v>
      </c>
      <c r="O5" s="103" t="s">
        <v>224</v>
      </c>
    </row>
    <row r="6" spans="1:15" ht="18.75" x14ac:dyDescent="0.3">
      <c r="A6" s="92" t="str">
        <f t="shared" si="0"/>
        <v>Rohit</v>
      </c>
      <c r="B6" s="93">
        <v>5</v>
      </c>
      <c r="C6" s="92" t="s">
        <v>218</v>
      </c>
      <c r="D6" s="92" t="s">
        <v>219</v>
      </c>
      <c r="E6" s="94">
        <v>12154</v>
      </c>
      <c r="N6" s="100">
        <v>31</v>
      </c>
      <c r="O6" s="101" t="s">
        <v>139</v>
      </c>
    </row>
    <row r="7" spans="1:15" ht="18.75" x14ac:dyDescent="0.3">
      <c r="A7" s="92" t="str">
        <f t="shared" si="0"/>
        <v>Pinky</v>
      </c>
      <c r="B7" s="95">
        <v>6</v>
      </c>
      <c r="C7" s="96" t="s">
        <v>192</v>
      </c>
      <c r="D7" s="96" t="s">
        <v>219</v>
      </c>
      <c r="E7" s="97">
        <v>14291</v>
      </c>
      <c r="N7" s="102">
        <v>21</v>
      </c>
      <c r="O7" s="103" t="s">
        <v>176</v>
      </c>
    </row>
    <row r="8" spans="1:15" ht="18.75" x14ac:dyDescent="0.3">
      <c r="A8" s="92" t="str">
        <f t="shared" si="0"/>
        <v>Mohan</v>
      </c>
      <c r="B8" s="93">
        <v>7</v>
      </c>
      <c r="C8" s="92" t="s">
        <v>220</v>
      </c>
      <c r="D8" s="92" t="s">
        <v>221</v>
      </c>
      <c r="E8" s="94">
        <v>12609</v>
      </c>
      <c r="N8" s="100">
        <v>11</v>
      </c>
      <c r="O8" s="101" t="s">
        <v>177</v>
      </c>
    </row>
    <row r="9" spans="1:15" ht="18.75" x14ac:dyDescent="0.3">
      <c r="A9" s="92" t="str">
        <f t="shared" si="0"/>
        <v>Nimarta</v>
      </c>
      <c r="B9" s="95">
        <v>8</v>
      </c>
      <c r="C9" s="96" t="s">
        <v>220</v>
      </c>
      <c r="D9" s="96" t="s">
        <v>221</v>
      </c>
      <c r="E9" s="97">
        <v>14580</v>
      </c>
      <c r="N9" s="102">
        <v>1</v>
      </c>
      <c r="O9" s="103" t="s">
        <v>225</v>
      </c>
    </row>
    <row r="10" spans="1:15" ht="18.75" x14ac:dyDescent="0.3">
      <c r="A10" s="92" t="str">
        <f t="shared" si="0"/>
        <v>Itee</v>
      </c>
      <c r="B10" s="93">
        <v>9</v>
      </c>
      <c r="C10" s="92" t="s">
        <v>222</v>
      </c>
      <c r="D10" s="92" t="s">
        <v>216</v>
      </c>
      <c r="E10" s="94">
        <v>14986</v>
      </c>
      <c r="N10" s="100">
        <v>72</v>
      </c>
      <c r="O10" s="101" t="s">
        <v>145</v>
      </c>
    </row>
    <row r="11" spans="1:15" ht="18.75" x14ac:dyDescent="0.3">
      <c r="A11" s="92" t="str">
        <f t="shared" si="0"/>
        <v>Koko</v>
      </c>
      <c r="B11" s="95">
        <v>10</v>
      </c>
      <c r="C11" s="96" t="s">
        <v>222</v>
      </c>
      <c r="D11" s="96" t="s">
        <v>217</v>
      </c>
      <c r="E11" s="97">
        <v>12088</v>
      </c>
      <c r="N11" s="102">
        <v>62</v>
      </c>
      <c r="O11" s="103" t="s">
        <v>141</v>
      </c>
    </row>
    <row r="12" spans="1:15" ht="18.75" x14ac:dyDescent="0.3">
      <c r="A12" s="92" t="str">
        <f t="shared" si="0"/>
        <v>Vishresh</v>
      </c>
      <c r="B12" s="93">
        <v>11</v>
      </c>
      <c r="C12" s="92" t="s">
        <v>222</v>
      </c>
      <c r="D12" s="92" t="s">
        <v>217</v>
      </c>
      <c r="E12" s="94">
        <v>12418</v>
      </c>
      <c r="N12" s="100">
        <v>52</v>
      </c>
      <c r="O12" s="101" t="s">
        <v>226</v>
      </c>
    </row>
    <row r="13" spans="1:15" ht="18.75" x14ac:dyDescent="0.3">
      <c r="A13" s="92" t="str">
        <f t="shared" si="0"/>
        <v>Vijay</v>
      </c>
      <c r="B13" s="95">
        <v>12</v>
      </c>
      <c r="C13" s="98" t="s">
        <v>215</v>
      </c>
      <c r="D13" s="98" t="s">
        <v>216</v>
      </c>
      <c r="E13" s="97">
        <v>13535</v>
      </c>
      <c r="N13" s="102">
        <v>42</v>
      </c>
      <c r="O13" s="103" t="s">
        <v>227</v>
      </c>
    </row>
    <row r="14" spans="1:15" ht="18.75" x14ac:dyDescent="0.3">
      <c r="A14" s="92" t="str">
        <f t="shared" si="0"/>
        <v>Yesh</v>
      </c>
      <c r="B14" s="93">
        <v>13</v>
      </c>
      <c r="C14" s="92" t="s">
        <v>192</v>
      </c>
      <c r="D14" s="92" t="s">
        <v>216</v>
      </c>
      <c r="E14" s="94">
        <v>12323</v>
      </c>
      <c r="N14" s="100">
        <v>32</v>
      </c>
      <c r="O14" s="101" t="s">
        <v>148</v>
      </c>
    </row>
    <row r="15" spans="1:15" ht="18.75" x14ac:dyDescent="0.3">
      <c r="A15" s="92" t="str">
        <f t="shared" si="0"/>
        <v>Roky</v>
      </c>
      <c r="B15" s="95">
        <v>14</v>
      </c>
      <c r="C15" s="98" t="s">
        <v>218</v>
      </c>
      <c r="D15" s="98" t="s">
        <v>219</v>
      </c>
      <c r="E15" s="97">
        <v>13037</v>
      </c>
      <c r="N15" s="102">
        <v>22</v>
      </c>
      <c r="O15" s="103" t="s">
        <v>228</v>
      </c>
    </row>
    <row r="16" spans="1:15" ht="18.75" x14ac:dyDescent="0.3">
      <c r="A16" s="92" t="str">
        <f t="shared" si="0"/>
        <v>Priya</v>
      </c>
      <c r="B16" s="93">
        <v>15</v>
      </c>
      <c r="C16" s="92" t="s">
        <v>215</v>
      </c>
      <c r="D16" s="92" t="s">
        <v>221</v>
      </c>
      <c r="E16" s="94">
        <v>14391</v>
      </c>
      <c r="N16" s="100">
        <v>12</v>
      </c>
      <c r="O16" s="101" t="s">
        <v>150</v>
      </c>
    </row>
    <row r="17" spans="1:15" ht="18.75" x14ac:dyDescent="0.3">
      <c r="A17" s="92" t="str">
        <f t="shared" si="0"/>
        <v>Meena</v>
      </c>
      <c r="B17" s="95">
        <v>16</v>
      </c>
      <c r="C17" s="96" t="s">
        <v>215</v>
      </c>
      <c r="D17" s="96" t="s">
        <v>216</v>
      </c>
      <c r="E17" s="97">
        <v>12873</v>
      </c>
      <c r="N17" s="102">
        <v>2</v>
      </c>
      <c r="O17" s="103" t="s">
        <v>151</v>
      </c>
    </row>
    <row r="18" spans="1:15" ht="18.75" x14ac:dyDescent="0.3">
      <c r="A18" s="92" t="str">
        <f t="shared" si="0"/>
        <v>sham</v>
      </c>
      <c r="B18" s="93">
        <v>17</v>
      </c>
      <c r="C18" s="92" t="s">
        <v>215</v>
      </c>
      <c r="D18" s="92" t="s">
        <v>217</v>
      </c>
      <c r="E18" s="94">
        <v>12801</v>
      </c>
      <c r="N18" s="100">
        <v>73</v>
      </c>
      <c r="O18" s="101" t="s">
        <v>135</v>
      </c>
    </row>
    <row r="19" spans="1:15" ht="18.75" x14ac:dyDescent="0.3">
      <c r="A19" s="92" t="str">
        <f t="shared" si="0"/>
        <v>Jaspreet</v>
      </c>
      <c r="B19" s="95">
        <v>18</v>
      </c>
      <c r="C19" s="96" t="s">
        <v>218</v>
      </c>
      <c r="D19" s="96" t="s">
        <v>217</v>
      </c>
      <c r="E19" s="97">
        <v>12993</v>
      </c>
      <c r="N19" s="102">
        <v>63</v>
      </c>
      <c r="O19" s="103" t="s">
        <v>152</v>
      </c>
    </row>
    <row r="20" spans="1:15" ht="18.75" x14ac:dyDescent="0.3">
      <c r="A20" s="92" t="str">
        <f t="shared" si="0"/>
        <v>Ravi</v>
      </c>
      <c r="B20" s="93">
        <v>19</v>
      </c>
      <c r="C20" s="92" t="s">
        <v>218</v>
      </c>
      <c r="D20" s="92" t="s">
        <v>216</v>
      </c>
      <c r="E20" s="94">
        <v>13491</v>
      </c>
      <c r="N20" s="100">
        <v>53</v>
      </c>
      <c r="O20" s="101" t="s">
        <v>153</v>
      </c>
    </row>
    <row r="21" spans="1:15" ht="18.75" x14ac:dyDescent="0.3">
      <c r="A21" s="92" t="str">
        <f t="shared" si="0"/>
        <v>Shivam</v>
      </c>
      <c r="B21" s="95">
        <v>20</v>
      </c>
      <c r="C21" s="96" t="s">
        <v>192</v>
      </c>
      <c r="D21" s="96" t="s">
        <v>219</v>
      </c>
      <c r="E21" s="97">
        <v>12577</v>
      </c>
      <c r="N21" s="102">
        <v>43</v>
      </c>
      <c r="O21" s="103" t="s">
        <v>154</v>
      </c>
    </row>
    <row r="22" spans="1:15" ht="18.75" x14ac:dyDescent="0.3">
      <c r="A22" s="92" t="str">
        <f t="shared" si="0"/>
        <v>Anant</v>
      </c>
      <c r="B22" s="93">
        <v>21</v>
      </c>
      <c r="C22" s="92" t="s">
        <v>192</v>
      </c>
      <c r="D22" s="92" t="s">
        <v>219</v>
      </c>
      <c r="E22" s="94">
        <v>13857</v>
      </c>
      <c r="N22" s="100">
        <v>33</v>
      </c>
      <c r="O22" s="101" t="s">
        <v>229</v>
      </c>
    </row>
    <row r="23" spans="1:15" ht="18.75" x14ac:dyDescent="0.3">
      <c r="A23" s="92" t="str">
        <f t="shared" si="0"/>
        <v>Durvesh</v>
      </c>
      <c r="B23" s="95">
        <v>22</v>
      </c>
      <c r="C23" s="96" t="s">
        <v>220</v>
      </c>
      <c r="D23" s="96" t="s">
        <v>221</v>
      </c>
      <c r="E23" s="97">
        <v>14831</v>
      </c>
      <c r="N23" s="102">
        <v>23</v>
      </c>
      <c r="O23" s="103" t="s">
        <v>137</v>
      </c>
    </row>
    <row r="24" spans="1:15" ht="18.75" x14ac:dyDescent="0.3">
      <c r="A24" s="92" t="str">
        <f t="shared" si="0"/>
        <v>Lalit</v>
      </c>
      <c r="B24" s="93">
        <v>23</v>
      </c>
      <c r="C24" s="92" t="s">
        <v>220</v>
      </c>
      <c r="D24" s="92" t="s">
        <v>221</v>
      </c>
      <c r="E24" s="94">
        <v>14402</v>
      </c>
      <c r="N24" s="100">
        <v>13</v>
      </c>
      <c r="O24" s="101" t="s">
        <v>230</v>
      </c>
    </row>
    <row r="25" spans="1:15" ht="18.75" x14ac:dyDescent="0.3">
      <c r="A25" s="92" t="str">
        <f t="shared" si="0"/>
        <v>Aditi</v>
      </c>
      <c r="B25" s="95">
        <v>24</v>
      </c>
      <c r="C25" s="96" t="s">
        <v>222</v>
      </c>
      <c r="D25" s="96" t="s">
        <v>216</v>
      </c>
      <c r="E25" s="97">
        <v>14708</v>
      </c>
      <c r="N25" s="102">
        <v>3</v>
      </c>
      <c r="O25" s="103" t="s">
        <v>231</v>
      </c>
    </row>
    <row r="26" spans="1:15" ht="18.75" x14ac:dyDescent="0.3">
      <c r="A26" s="92" t="str">
        <f t="shared" si="0"/>
        <v>Piya</v>
      </c>
      <c r="B26" s="93">
        <v>25</v>
      </c>
      <c r="C26" s="92" t="s">
        <v>222</v>
      </c>
      <c r="D26" s="92" t="s">
        <v>217</v>
      </c>
      <c r="E26" s="94">
        <v>12984</v>
      </c>
      <c r="N26" s="100">
        <v>74</v>
      </c>
      <c r="O26" s="101" t="s">
        <v>142</v>
      </c>
    </row>
    <row r="27" spans="1:15" ht="18.75" x14ac:dyDescent="0.3">
      <c r="A27" s="92" t="str">
        <f t="shared" si="0"/>
        <v>Tina</v>
      </c>
      <c r="B27" s="95">
        <v>26</v>
      </c>
      <c r="C27" s="98" t="s">
        <v>222</v>
      </c>
      <c r="D27" s="96" t="s">
        <v>217</v>
      </c>
      <c r="E27" s="97">
        <v>13113</v>
      </c>
      <c r="N27" s="102">
        <v>64</v>
      </c>
      <c r="O27" s="103" t="s">
        <v>232</v>
      </c>
    </row>
    <row r="28" spans="1:15" ht="18.75" x14ac:dyDescent="0.3">
      <c r="A28" s="92" t="str">
        <f t="shared" si="0"/>
        <v>Ram</v>
      </c>
      <c r="B28" s="93">
        <v>27</v>
      </c>
      <c r="C28" s="92" t="s">
        <v>192</v>
      </c>
      <c r="D28" s="92" t="s">
        <v>216</v>
      </c>
      <c r="E28" s="94">
        <v>12102</v>
      </c>
      <c r="N28" s="100">
        <v>54</v>
      </c>
      <c r="O28" s="101" t="s">
        <v>133</v>
      </c>
    </row>
    <row r="29" spans="1:15" ht="18.75" x14ac:dyDescent="0.3">
      <c r="A29" s="92" t="str">
        <f t="shared" si="0"/>
        <v>Balveen</v>
      </c>
      <c r="B29" s="95">
        <v>28</v>
      </c>
      <c r="C29" s="98" t="s">
        <v>192</v>
      </c>
      <c r="D29" s="98" t="s">
        <v>216</v>
      </c>
      <c r="E29" s="97">
        <v>12570</v>
      </c>
      <c r="N29" s="102">
        <v>44</v>
      </c>
      <c r="O29" s="103" t="s">
        <v>233</v>
      </c>
    </row>
    <row r="30" spans="1:15" ht="18.75" x14ac:dyDescent="0.3">
      <c r="A30" s="92" t="str">
        <f t="shared" si="0"/>
        <v>Reena</v>
      </c>
      <c r="B30" s="93">
        <v>29</v>
      </c>
      <c r="C30" s="92" t="s">
        <v>218</v>
      </c>
      <c r="D30" s="92" t="s">
        <v>219</v>
      </c>
      <c r="E30" s="94">
        <v>14235</v>
      </c>
      <c r="N30" s="100">
        <v>34</v>
      </c>
      <c r="O30" s="101" t="s">
        <v>147</v>
      </c>
    </row>
    <row r="31" spans="1:15" ht="18.75" x14ac:dyDescent="0.3">
      <c r="A31" s="92" t="str">
        <f t="shared" si="0"/>
        <v>Sunny</v>
      </c>
      <c r="B31" s="95">
        <v>30</v>
      </c>
      <c r="C31" s="98" t="s">
        <v>215</v>
      </c>
      <c r="D31" s="98" t="s">
        <v>221</v>
      </c>
      <c r="E31" s="97">
        <v>14897</v>
      </c>
      <c r="N31" s="102">
        <v>24</v>
      </c>
      <c r="O31" s="103" t="s">
        <v>234</v>
      </c>
    </row>
    <row r="32" spans="1:15" ht="18.75" x14ac:dyDescent="0.3">
      <c r="A32" s="92" t="str">
        <f t="shared" si="0"/>
        <v>Rahul</v>
      </c>
      <c r="B32" s="93">
        <v>31</v>
      </c>
      <c r="C32" s="92" t="s">
        <v>215</v>
      </c>
      <c r="D32" s="92" t="s">
        <v>216</v>
      </c>
      <c r="E32" s="94">
        <v>12451</v>
      </c>
      <c r="N32" s="100">
        <v>14</v>
      </c>
      <c r="O32" s="101" t="s">
        <v>235</v>
      </c>
    </row>
    <row r="33" spans="1:15" ht="18.75" x14ac:dyDescent="0.3">
      <c r="A33" s="92" t="str">
        <f t="shared" si="0"/>
        <v>Poly</v>
      </c>
      <c r="B33" s="95">
        <v>32</v>
      </c>
      <c r="C33" s="96" t="s">
        <v>215</v>
      </c>
      <c r="D33" s="96" t="s">
        <v>217</v>
      </c>
      <c r="E33" s="97">
        <v>13765</v>
      </c>
      <c r="N33" s="102">
        <v>4</v>
      </c>
      <c r="O33" s="103" t="s">
        <v>29</v>
      </c>
    </row>
    <row r="34" spans="1:15" ht="18.75" x14ac:dyDescent="0.3">
      <c r="A34" s="92" t="str">
        <f t="shared" si="0"/>
        <v>Jyotsna</v>
      </c>
      <c r="B34" s="93">
        <v>33</v>
      </c>
      <c r="C34" s="92" t="s">
        <v>218</v>
      </c>
      <c r="D34" s="92" t="s">
        <v>217</v>
      </c>
      <c r="E34" s="94">
        <v>13449</v>
      </c>
      <c r="N34" s="100">
        <v>75</v>
      </c>
      <c r="O34" s="101" t="s">
        <v>236</v>
      </c>
    </row>
    <row r="35" spans="1:15" ht="18.75" x14ac:dyDescent="0.3">
      <c r="A35" s="92" t="str">
        <f t="shared" si="0"/>
        <v>Shweta</v>
      </c>
      <c r="B35" s="95">
        <v>34</v>
      </c>
      <c r="C35" s="96" t="s">
        <v>218</v>
      </c>
      <c r="D35" s="96" t="s">
        <v>217</v>
      </c>
      <c r="E35" s="97">
        <v>12030</v>
      </c>
      <c r="N35" s="102">
        <v>65</v>
      </c>
      <c r="O35" s="103" t="s">
        <v>237</v>
      </c>
    </row>
    <row r="36" spans="1:15" ht="18.75" x14ac:dyDescent="0.3">
      <c r="A36" s="92" t="str">
        <f t="shared" si="0"/>
        <v>Diya</v>
      </c>
      <c r="B36" s="93">
        <v>35</v>
      </c>
      <c r="C36" s="92" t="s">
        <v>192</v>
      </c>
      <c r="D36" s="92" t="s">
        <v>219</v>
      </c>
      <c r="E36" s="94">
        <v>12040</v>
      </c>
      <c r="N36" s="100">
        <v>55</v>
      </c>
      <c r="O36" s="101" t="s">
        <v>238</v>
      </c>
    </row>
    <row r="37" spans="1:15" ht="18.75" x14ac:dyDescent="0.3">
      <c r="A37" s="92" t="str">
        <f t="shared" si="0"/>
        <v>Reena</v>
      </c>
      <c r="B37" s="95">
        <v>36</v>
      </c>
      <c r="C37" s="96" t="s">
        <v>192</v>
      </c>
      <c r="D37" s="96" t="s">
        <v>219</v>
      </c>
      <c r="E37" s="97">
        <v>14521</v>
      </c>
      <c r="N37" s="102">
        <v>45</v>
      </c>
      <c r="O37" s="103" t="s">
        <v>239</v>
      </c>
    </row>
    <row r="38" spans="1:15" ht="18.75" x14ac:dyDescent="0.3">
      <c r="A38" s="92" t="str">
        <f t="shared" si="0"/>
        <v>Ganga</v>
      </c>
      <c r="B38" s="93">
        <v>37</v>
      </c>
      <c r="C38" s="92" t="s">
        <v>220</v>
      </c>
      <c r="D38" s="92" t="s">
        <v>221</v>
      </c>
      <c r="E38" s="94">
        <v>14045</v>
      </c>
      <c r="N38" s="100">
        <v>35</v>
      </c>
      <c r="O38" s="101" t="s">
        <v>240</v>
      </c>
    </row>
    <row r="39" spans="1:15" ht="18.75" x14ac:dyDescent="0.3">
      <c r="A39" s="92" t="str">
        <f t="shared" si="0"/>
        <v>Gurpreet</v>
      </c>
      <c r="B39" s="95">
        <v>38</v>
      </c>
      <c r="C39" s="96" t="s">
        <v>220</v>
      </c>
      <c r="D39" s="96" t="s">
        <v>221</v>
      </c>
      <c r="E39" s="97">
        <v>13400</v>
      </c>
      <c r="N39" s="102">
        <v>25</v>
      </c>
      <c r="O39" s="103" t="s">
        <v>241</v>
      </c>
    </row>
    <row r="40" spans="1:15" ht="18.75" x14ac:dyDescent="0.3">
      <c r="A40" s="92" t="str">
        <f t="shared" si="0"/>
        <v>Jamila</v>
      </c>
      <c r="B40" s="93">
        <v>39</v>
      </c>
      <c r="C40" s="92" t="s">
        <v>222</v>
      </c>
      <c r="D40" s="92" t="s">
        <v>216</v>
      </c>
      <c r="E40" s="94">
        <v>13661</v>
      </c>
      <c r="N40" s="100">
        <v>15</v>
      </c>
      <c r="O40" s="101" t="s">
        <v>242</v>
      </c>
    </row>
    <row r="41" spans="1:15" ht="18.75" x14ac:dyDescent="0.3">
      <c r="A41" s="92" t="str">
        <f t="shared" si="0"/>
        <v>Renu</v>
      </c>
      <c r="B41" s="95">
        <v>40</v>
      </c>
      <c r="C41" s="96" t="s">
        <v>222</v>
      </c>
      <c r="D41" s="96" t="s">
        <v>216</v>
      </c>
      <c r="E41" s="97">
        <v>12449</v>
      </c>
      <c r="N41" s="102">
        <v>5</v>
      </c>
      <c r="O41" s="104" t="s">
        <v>141</v>
      </c>
    </row>
    <row r="42" spans="1:15" ht="18.75" x14ac:dyDescent="0.3">
      <c r="A42" s="92" t="str">
        <f t="shared" si="0"/>
        <v>Salil</v>
      </c>
      <c r="B42" s="93">
        <v>41</v>
      </c>
      <c r="C42" s="92" t="s">
        <v>222</v>
      </c>
      <c r="D42" s="92" t="s">
        <v>217</v>
      </c>
      <c r="E42" s="94">
        <v>12014</v>
      </c>
      <c r="N42" s="100">
        <v>66</v>
      </c>
      <c r="O42" s="100" t="s">
        <v>243</v>
      </c>
    </row>
    <row r="43" spans="1:15" ht="18.75" x14ac:dyDescent="0.3">
      <c r="A43" s="92" t="str">
        <f t="shared" si="0"/>
        <v>Vishal</v>
      </c>
      <c r="B43" s="95">
        <v>42</v>
      </c>
      <c r="C43" s="98" t="s">
        <v>192</v>
      </c>
      <c r="D43" s="96" t="s">
        <v>217</v>
      </c>
      <c r="E43" s="97">
        <v>14557</v>
      </c>
      <c r="N43" s="102">
        <v>56</v>
      </c>
      <c r="O43" s="104" t="s">
        <v>33</v>
      </c>
    </row>
    <row r="44" spans="1:15" ht="18.75" x14ac:dyDescent="0.3">
      <c r="A44" s="92" t="str">
        <f t="shared" si="0"/>
        <v>Lalita</v>
      </c>
      <c r="B44" s="93">
        <v>43</v>
      </c>
      <c r="C44" s="92" t="s">
        <v>192</v>
      </c>
      <c r="D44" s="92" t="s">
        <v>217</v>
      </c>
      <c r="E44" s="94">
        <v>14347</v>
      </c>
      <c r="N44" s="100">
        <v>46</v>
      </c>
      <c r="O44" s="100" t="s">
        <v>74</v>
      </c>
    </row>
    <row r="45" spans="1:15" ht="18.75" x14ac:dyDescent="0.3">
      <c r="A45" s="92" t="str">
        <f t="shared" si="0"/>
        <v>Ankit</v>
      </c>
      <c r="B45" s="95">
        <v>44</v>
      </c>
      <c r="C45" s="98" t="s">
        <v>218</v>
      </c>
      <c r="D45" s="98" t="s">
        <v>219</v>
      </c>
      <c r="E45" s="97">
        <v>12111</v>
      </c>
      <c r="N45" s="102">
        <v>36</v>
      </c>
      <c r="O45" s="104" t="s">
        <v>244</v>
      </c>
    </row>
    <row r="46" spans="1:15" ht="18.75" x14ac:dyDescent="0.3">
      <c r="A46" s="92" t="str">
        <f t="shared" si="0"/>
        <v>Riya</v>
      </c>
      <c r="B46" s="93">
        <v>45</v>
      </c>
      <c r="C46" s="92" t="s">
        <v>215</v>
      </c>
      <c r="D46" s="92" t="s">
        <v>221</v>
      </c>
      <c r="E46" s="94">
        <v>12898</v>
      </c>
      <c r="N46" s="100">
        <v>26</v>
      </c>
      <c r="O46" s="100" t="s">
        <v>245</v>
      </c>
    </row>
    <row r="47" spans="1:15" ht="18.75" x14ac:dyDescent="0.3">
      <c r="A47" s="92" t="str">
        <f t="shared" si="0"/>
        <v>Sameer</v>
      </c>
      <c r="B47" s="95">
        <v>46</v>
      </c>
      <c r="C47" s="96" t="s">
        <v>215</v>
      </c>
      <c r="D47" s="96" t="s">
        <v>216</v>
      </c>
      <c r="E47" s="97">
        <v>14485</v>
      </c>
      <c r="N47" s="102">
        <v>16</v>
      </c>
      <c r="O47" s="104" t="s">
        <v>246</v>
      </c>
    </row>
    <row r="48" spans="1:15" ht="18.75" x14ac:dyDescent="0.3">
      <c r="A48" s="92" t="str">
        <f t="shared" si="0"/>
        <v>Vanshu</v>
      </c>
      <c r="B48" s="93">
        <v>47</v>
      </c>
      <c r="C48" s="92" t="s">
        <v>215</v>
      </c>
      <c r="D48" s="92" t="s">
        <v>217</v>
      </c>
      <c r="E48" s="94">
        <v>14068</v>
      </c>
      <c r="N48" s="100">
        <v>6</v>
      </c>
      <c r="O48" s="100" t="s">
        <v>247</v>
      </c>
    </row>
    <row r="49" spans="1:15" ht="18.75" x14ac:dyDescent="0.3">
      <c r="A49" s="92" t="str">
        <f t="shared" si="0"/>
        <v>Tohan</v>
      </c>
      <c r="B49" s="95">
        <v>48</v>
      </c>
      <c r="C49" s="96" t="s">
        <v>218</v>
      </c>
      <c r="D49" s="96" t="s">
        <v>217</v>
      </c>
      <c r="E49" s="97">
        <v>14295</v>
      </c>
      <c r="N49" s="102">
        <v>67</v>
      </c>
      <c r="O49" s="104" t="s">
        <v>248</v>
      </c>
    </row>
    <row r="50" spans="1:15" ht="18.75" x14ac:dyDescent="0.3">
      <c r="A50" s="92" t="str">
        <f t="shared" si="0"/>
        <v>Devesh</v>
      </c>
      <c r="B50" s="93">
        <v>49</v>
      </c>
      <c r="C50" s="92" t="s">
        <v>218</v>
      </c>
      <c r="D50" s="92" t="s">
        <v>216</v>
      </c>
      <c r="E50" s="94">
        <v>12200</v>
      </c>
      <c r="N50" s="100">
        <v>57</v>
      </c>
      <c r="O50" s="100" t="s">
        <v>249</v>
      </c>
    </row>
    <row r="51" spans="1:15" ht="18.75" x14ac:dyDescent="0.3">
      <c r="A51" s="92" t="str">
        <f t="shared" si="0"/>
        <v>Pooja</v>
      </c>
      <c r="B51" s="95">
        <v>50</v>
      </c>
      <c r="C51" s="96" t="s">
        <v>192</v>
      </c>
      <c r="D51" s="96" t="s">
        <v>219</v>
      </c>
      <c r="E51" s="97">
        <v>12672</v>
      </c>
      <c r="N51" s="102">
        <v>47</v>
      </c>
      <c r="O51" s="102" t="s">
        <v>250</v>
      </c>
    </row>
    <row r="52" spans="1:15" ht="18.75" x14ac:dyDescent="0.3">
      <c r="A52" s="92" t="str">
        <f t="shared" si="0"/>
        <v>Gagan</v>
      </c>
      <c r="B52" s="93">
        <v>51</v>
      </c>
      <c r="C52" s="92" t="s">
        <v>192</v>
      </c>
      <c r="D52" s="92" t="s">
        <v>219</v>
      </c>
      <c r="E52" s="94">
        <v>12858</v>
      </c>
      <c r="N52" s="100">
        <v>37</v>
      </c>
      <c r="O52" s="100" t="s">
        <v>251</v>
      </c>
    </row>
    <row r="53" spans="1:15" ht="18.75" x14ac:dyDescent="0.3">
      <c r="A53" s="92" t="str">
        <f t="shared" si="0"/>
        <v>Nitin</v>
      </c>
      <c r="B53" s="95">
        <v>52</v>
      </c>
      <c r="C53" s="96" t="s">
        <v>220</v>
      </c>
      <c r="D53" s="96" t="s">
        <v>221</v>
      </c>
      <c r="E53" s="97">
        <v>13707</v>
      </c>
      <c r="N53" s="102">
        <v>27</v>
      </c>
      <c r="O53" s="104" t="s">
        <v>252</v>
      </c>
    </row>
    <row r="54" spans="1:15" ht="18.75" x14ac:dyDescent="0.3">
      <c r="A54" s="92" t="str">
        <f t="shared" si="0"/>
        <v>Neetu</v>
      </c>
      <c r="B54" s="93">
        <v>53</v>
      </c>
      <c r="C54" s="92" t="s">
        <v>220</v>
      </c>
      <c r="D54" s="92" t="s">
        <v>221</v>
      </c>
      <c r="E54" s="94">
        <v>12549</v>
      </c>
      <c r="N54" s="100">
        <v>17</v>
      </c>
      <c r="O54" s="100" t="s">
        <v>253</v>
      </c>
    </row>
    <row r="55" spans="1:15" ht="18.75" x14ac:dyDescent="0.3">
      <c r="A55" s="92" t="str">
        <f t="shared" si="0"/>
        <v>Mamta</v>
      </c>
      <c r="B55" s="95">
        <v>54</v>
      </c>
      <c r="C55" s="96" t="s">
        <v>222</v>
      </c>
      <c r="D55" s="96" t="s">
        <v>216</v>
      </c>
      <c r="E55" s="97">
        <v>14160</v>
      </c>
      <c r="N55" s="102">
        <v>7</v>
      </c>
      <c r="O55" s="104" t="s">
        <v>254</v>
      </c>
    </row>
    <row r="56" spans="1:15" ht="18.75" x14ac:dyDescent="0.3">
      <c r="A56" s="92" t="str">
        <f t="shared" si="0"/>
        <v>Shinku</v>
      </c>
      <c r="B56" s="93">
        <v>55</v>
      </c>
      <c r="C56" s="92" t="s">
        <v>222</v>
      </c>
      <c r="D56" s="92" t="s">
        <v>216</v>
      </c>
      <c r="E56" s="94">
        <v>13776</v>
      </c>
      <c r="N56" s="100">
        <v>68</v>
      </c>
      <c r="O56" s="100" t="s">
        <v>255</v>
      </c>
    </row>
    <row r="57" spans="1:15" ht="18.75" x14ac:dyDescent="0.3">
      <c r="A57" s="92" t="str">
        <f t="shared" si="0"/>
        <v>Sunil</v>
      </c>
      <c r="B57" s="95">
        <v>56</v>
      </c>
      <c r="C57" s="98" t="s">
        <v>222</v>
      </c>
      <c r="D57" s="98" t="s">
        <v>216</v>
      </c>
      <c r="E57" s="97">
        <v>13251</v>
      </c>
      <c r="N57" s="102">
        <v>58</v>
      </c>
      <c r="O57" s="102" t="s">
        <v>256</v>
      </c>
    </row>
    <row r="58" spans="1:15" ht="18.75" x14ac:dyDescent="0.3">
      <c r="A58" s="92" t="str">
        <f t="shared" si="0"/>
        <v>Anshu</v>
      </c>
      <c r="B58" s="93">
        <v>57</v>
      </c>
      <c r="C58" s="92" t="s">
        <v>192</v>
      </c>
      <c r="D58" s="92" t="s">
        <v>216</v>
      </c>
      <c r="E58" s="94">
        <v>13131</v>
      </c>
      <c r="N58" s="100">
        <v>48</v>
      </c>
      <c r="O58" s="100" t="s">
        <v>257</v>
      </c>
    </row>
    <row r="59" spans="1:15" ht="18.75" x14ac:dyDescent="0.3">
      <c r="A59" s="92" t="str">
        <f t="shared" si="0"/>
        <v>Rohan</v>
      </c>
      <c r="B59" s="95">
        <v>58</v>
      </c>
      <c r="C59" s="98" t="s">
        <v>192</v>
      </c>
      <c r="D59" s="98" t="s">
        <v>216</v>
      </c>
      <c r="E59" s="97">
        <v>12911</v>
      </c>
      <c r="N59" s="102">
        <v>38</v>
      </c>
      <c r="O59" s="104" t="s">
        <v>258</v>
      </c>
    </row>
    <row r="60" spans="1:15" ht="18.75" x14ac:dyDescent="0.3">
      <c r="A60" s="92" t="str">
        <f t="shared" si="0"/>
        <v>Veena</v>
      </c>
      <c r="B60" s="93">
        <v>59</v>
      </c>
      <c r="C60" s="92" t="s">
        <v>218</v>
      </c>
      <c r="D60" s="92" t="s">
        <v>217</v>
      </c>
      <c r="E60" s="94">
        <v>14463</v>
      </c>
      <c r="N60" s="100">
        <v>28</v>
      </c>
      <c r="O60" s="100" t="s">
        <v>259</v>
      </c>
    </row>
    <row r="61" spans="1:15" ht="18.75" x14ac:dyDescent="0.3">
      <c r="A61" s="92" t="str">
        <f t="shared" si="0"/>
        <v>Ishu</v>
      </c>
      <c r="B61" s="95">
        <v>60</v>
      </c>
      <c r="C61" s="98" t="s">
        <v>215</v>
      </c>
      <c r="D61" s="98" t="s">
        <v>221</v>
      </c>
      <c r="E61" s="97">
        <v>14995</v>
      </c>
      <c r="N61" s="102">
        <v>18</v>
      </c>
      <c r="O61" s="104" t="s">
        <v>260</v>
      </c>
    </row>
    <row r="62" spans="1:15" ht="18.75" x14ac:dyDescent="0.3">
      <c r="A62" s="92" t="str">
        <f t="shared" si="0"/>
        <v>Chander</v>
      </c>
      <c r="B62" s="93">
        <v>61</v>
      </c>
      <c r="C62" s="92" t="s">
        <v>215</v>
      </c>
      <c r="D62" s="92" t="s">
        <v>216</v>
      </c>
      <c r="E62" s="94">
        <v>12036</v>
      </c>
      <c r="N62" s="100">
        <v>8</v>
      </c>
      <c r="O62" s="100" t="s">
        <v>261</v>
      </c>
    </row>
    <row r="63" spans="1:15" ht="18.75" x14ac:dyDescent="0.3">
      <c r="A63" s="92" t="str">
        <f t="shared" si="0"/>
        <v>Rohit</v>
      </c>
      <c r="B63" s="95">
        <v>62</v>
      </c>
      <c r="C63" s="96" t="s">
        <v>215</v>
      </c>
      <c r="D63" s="96" t="s">
        <v>217</v>
      </c>
      <c r="E63" s="97">
        <v>13397</v>
      </c>
      <c r="N63" s="102">
        <v>69</v>
      </c>
      <c r="O63" s="104" t="s">
        <v>262</v>
      </c>
    </row>
    <row r="64" spans="1:15" ht="18.75" x14ac:dyDescent="0.3">
      <c r="A64" s="92" t="str">
        <f t="shared" si="0"/>
        <v>Anajli</v>
      </c>
      <c r="B64" s="93">
        <v>63</v>
      </c>
      <c r="C64" s="92" t="s">
        <v>218</v>
      </c>
      <c r="D64" s="92" t="s">
        <v>217</v>
      </c>
      <c r="E64" s="94">
        <v>14064</v>
      </c>
      <c r="N64" s="100">
        <v>59</v>
      </c>
      <c r="O64" s="100" t="s">
        <v>263</v>
      </c>
    </row>
    <row r="65" spans="1:15" ht="18.75" x14ac:dyDescent="0.3">
      <c r="A65" s="92" t="str">
        <f t="shared" si="0"/>
        <v>Arwind</v>
      </c>
      <c r="B65" s="95">
        <v>64</v>
      </c>
      <c r="C65" s="96" t="s">
        <v>218</v>
      </c>
      <c r="D65" s="96" t="s">
        <v>216</v>
      </c>
      <c r="E65" s="97">
        <v>14403</v>
      </c>
      <c r="N65" s="102">
        <v>49</v>
      </c>
      <c r="O65" s="104" t="s">
        <v>264</v>
      </c>
    </row>
    <row r="66" spans="1:15" ht="18.75" x14ac:dyDescent="0.3">
      <c r="A66" s="92" t="str">
        <f t="shared" si="0"/>
        <v>Tinku</v>
      </c>
      <c r="B66" s="93">
        <v>65</v>
      </c>
      <c r="C66" s="92" t="s">
        <v>192</v>
      </c>
      <c r="D66" s="92" t="s">
        <v>219</v>
      </c>
      <c r="E66" s="94">
        <v>12248</v>
      </c>
      <c r="N66" s="100">
        <v>39</v>
      </c>
      <c r="O66" s="100" t="s">
        <v>265</v>
      </c>
    </row>
    <row r="67" spans="1:15" ht="18.75" x14ac:dyDescent="0.3">
      <c r="A67" s="92" t="str">
        <f t="shared" ref="A67:A76" si="1">INDEX($O$2:$O$76,MATCH($B67,$N$2:$N$76,0))</f>
        <v>Rajendra</v>
      </c>
      <c r="B67" s="95">
        <v>66</v>
      </c>
      <c r="C67" s="96" t="s">
        <v>192</v>
      </c>
      <c r="D67" s="96" t="s">
        <v>219</v>
      </c>
      <c r="E67" s="97">
        <v>13691</v>
      </c>
      <c r="N67" s="102">
        <v>29</v>
      </c>
      <c r="O67" s="104" t="s">
        <v>244</v>
      </c>
    </row>
    <row r="68" spans="1:15" ht="18.75" x14ac:dyDescent="0.3">
      <c r="A68" s="92" t="str">
        <f t="shared" si="1"/>
        <v>Tinky</v>
      </c>
      <c r="B68" s="93">
        <v>67</v>
      </c>
      <c r="C68" s="92" t="s">
        <v>220</v>
      </c>
      <c r="D68" s="92" t="s">
        <v>221</v>
      </c>
      <c r="E68" s="94">
        <v>12061</v>
      </c>
      <c r="N68" s="100">
        <v>19</v>
      </c>
      <c r="O68" s="100" t="s">
        <v>266</v>
      </c>
    </row>
    <row r="69" spans="1:15" ht="18.75" x14ac:dyDescent="0.3">
      <c r="A69" s="92" t="str">
        <f t="shared" si="1"/>
        <v>Sohan</v>
      </c>
      <c r="B69" s="95">
        <v>68</v>
      </c>
      <c r="C69" s="96" t="s">
        <v>220</v>
      </c>
      <c r="D69" s="96" t="s">
        <v>221</v>
      </c>
      <c r="E69" s="97">
        <v>13673</v>
      </c>
      <c r="N69" s="102">
        <v>9</v>
      </c>
      <c r="O69" s="104" t="s">
        <v>267</v>
      </c>
    </row>
    <row r="70" spans="1:15" ht="18.75" x14ac:dyDescent="0.3">
      <c r="A70" s="92" t="str">
        <f t="shared" si="1"/>
        <v>Kusum</v>
      </c>
      <c r="B70" s="93">
        <v>69</v>
      </c>
      <c r="C70" s="92" t="s">
        <v>222</v>
      </c>
      <c r="D70" s="92" t="s">
        <v>216</v>
      </c>
      <c r="E70" s="94">
        <v>13480</v>
      </c>
      <c r="N70" s="100">
        <v>70</v>
      </c>
      <c r="O70" s="100" t="s">
        <v>268</v>
      </c>
    </row>
    <row r="71" spans="1:15" ht="18.75" x14ac:dyDescent="0.3">
      <c r="A71" s="92" t="str">
        <f t="shared" si="1"/>
        <v>Pradeep</v>
      </c>
      <c r="B71" s="95">
        <v>70</v>
      </c>
      <c r="C71" s="96" t="s">
        <v>222</v>
      </c>
      <c r="D71" s="96" t="s">
        <v>216</v>
      </c>
      <c r="E71" s="97">
        <v>13404</v>
      </c>
      <c r="N71" s="102">
        <v>60</v>
      </c>
      <c r="O71" s="102" t="s">
        <v>269</v>
      </c>
    </row>
    <row r="72" spans="1:15" ht="18.75" x14ac:dyDescent="0.3">
      <c r="A72" s="92" t="str">
        <f t="shared" si="1"/>
        <v>Prince</v>
      </c>
      <c r="B72" s="93">
        <v>71</v>
      </c>
      <c r="C72" s="92" t="s">
        <v>222</v>
      </c>
      <c r="D72" s="92" t="s">
        <v>217</v>
      </c>
      <c r="E72" s="94">
        <v>13527</v>
      </c>
      <c r="N72" s="100">
        <v>50</v>
      </c>
      <c r="O72" s="100" t="s">
        <v>270</v>
      </c>
    </row>
    <row r="73" spans="1:15" ht="18.75" x14ac:dyDescent="0.3">
      <c r="A73" s="92" t="str">
        <f t="shared" si="1"/>
        <v>Sachin</v>
      </c>
      <c r="B73" s="95">
        <v>72</v>
      </c>
      <c r="C73" s="98" t="s">
        <v>192</v>
      </c>
      <c r="D73" s="96" t="s">
        <v>217</v>
      </c>
      <c r="E73" s="97">
        <v>14362</v>
      </c>
      <c r="N73" s="102">
        <v>40</v>
      </c>
      <c r="O73" s="104" t="s">
        <v>146</v>
      </c>
    </row>
    <row r="74" spans="1:15" ht="18.75" x14ac:dyDescent="0.3">
      <c r="A74" s="92" t="str">
        <f t="shared" si="1"/>
        <v>Parveen</v>
      </c>
      <c r="B74" s="93">
        <v>73</v>
      </c>
      <c r="C74" s="92" t="s">
        <v>192</v>
      </c>
      <c r="D74" s="92" t="s">
        <v>217</v>
      </c>
      <c r="E74" s="94">
        <v>13714</v>
      </c>
      <c r="N74" s="100">
        <v>30</v>
      </c>
      <c r="O74" s="100" t="s">
        <v>271</v>
      </c>
    </row>
    <row r="75" spans="1:15" ht="18.75" x14ac:dyDescent="0.3">
      <c r="A75" s="92" t="str">
        <f t="shared" si="1"/>
        <v>Mudit</v>
      </c>
      <c r="B75" s="95">
        <v>74</v>
      </c>
      <c r="C75" s="98" t="s">
        <v>218</v>
      </c>
      <c r="D75" s="98" t="s">
        <v>219</v>
      </c>
      <c r="E75" s="97">
        <v>13101</v>
      </c>
      <c r="N75" s="102">
        <v>20</v>
      </c>
      <c r="O75" s="104" t="s">
        <v>272</v>
      </c>
    </row>
    <row r="76" spans="1:15" ht="18.75" x14ac:dyDescent="0.3">
      <c r="A76" s="92" t="str">
        <f t="shared" si="1"/>
        <v>Minku</v>
      </c>
      <c r="B76" s="93">
        <v>75</v>
      </c>
      <c r="C76" s="92" t="s">
        <v>215</v>
      </c>
      <c r="D76" s="92" t="s">
        <v>221</v>
      </c>
      <c r="E76" s="94">
        <v>14976</v>
      </c>
      <c r="N76" s="100">
        <v>10</v>
      </c>
      <c r="O76" s="100" t="s">
        <v>273</v>
      </c>
    </row>
    <row r="79" spans="1:15" ht="18.75" x14ac:dyDescent="0.3">
      <c r="B79" s="105" t="s">
        <v>274</v>
      </c>
    </row>
    <row r="80" spans="1:15" ht="23.25" x14ac:dyDescent="0.35">
      <c r="B80" s="106" t="s">
        <v>275</v>
      </c>
    </row>
    <row r="82" spans="2:8" x14ac:dyDescent="0.25">
      <c r="B82" s="134" t="s">
        <v>89</v>
      </c>
      <c r="C82" s="135"/>
      <c r="D82" s="135"/>
      <c r="E82" s="135"/>
      <c r="F82" s="135"/>
      <c r="G82" s="135"/>
      <c r="H82" s="136"/>
    </row>
    <row r="83" spans="2:8" ht="17.25" customHeight="1" x14ac:dyDescent="0.25">
      <c r="B83" s="107" t="s">
        <v>213</v>
      </c>
      <c r="C83" s="110" t="s">
        <v>215</v>
      </c>
      <c r="D83" s="110" t="s">
        <v>218</v>
      </c>
      <c r="E83" s="110" t="s">
        <v>192</v>
      </c>
      <c r="F83" s="110" t="s">
        <v>220</v>
      </c>
      <c r="G83" s="110" t="s">
        <v>222</v>
      </c>
      <c r="H83" s="110" t="s">
        <v>276</v>
      </c>
    </row>
    <row r="84" spans="2:8" ht="18.75" x14ac:dyDescent="0.25">
      <c r="B84" s="108" t="s">
        <v>219</v>
      </c>
      <c r="C84" s="13">
        <f>SUMIFS($E$2:$E$76,$C$2:$C$76,C$83,$D$2:$D$76,$B84)</f>
        <v>0</v>
      </c>
      <c r="D84" s="13">
        <f t="shared" ref="D84:G84" si="2">SUMIFS($E$2:$E$76,$C$2:$C$76,D$83,$D$2:$D$76,$B84)</f>
        <v>64638</v>
      </c>
      <c r="E84" s="13">
        <f t="shared" si="2"/>
        <v>118755</v>
      </c>
      <c r="F84" s="13">
        <f t="shared" si="2"/>
        <v>0</v>
      </c>
      <c r="G84" s="13">
        <f t="shared" si="2"/>
        <v>0</v>
      </c>
      <c r="H84" s="10">
        <f>SUM(C84:G84)</f>
        <v>183393</v>
      </c>
    </row>
    <row r="85" spans="2:8" ht="18.75" x14ac:dyDescent="0.25">
      <c r="B85" s="109" t="s">
        <v>216</v>
      </c>
      <c r="C85" s="13">
        <f t="shared" ref="C85:G87" si="3">SUMIFS($E$2:$E$76,$C$2:$C$76,C$83,$D$2:$D$76,$B85)</f>
        <v>93271</v>
      </c>
      <c r="D85" s="13">
        <f t="shared" si="3"/>
        <v>54824</v>
      </c>
      <c r="E85" s="13">
        <f t="shared" si="3"/>
        <v>63037</v>
      </c>
      <c r="F85" s="13">
        <f t="shared" si="3"/>
        <v>0</v>
      </c>
      <c r="G85" s="13">
        <f t="shared" si="3"/>
        <v>123875</v>
      </c>
      <c r="H85" s="10">
        <f t="shared" ref="H85:H88" si="4">SUM(C85:G85)</f>
        <v>335007</v>
      </c>
    </row>
    <row r="86" spans="2:8" ht="18.75" x14ac:dyDescent="0.25">
      <c r="B86" s="108" t="s">
        <v>217</v>
      </c>
      <c r="C86" s="13">
        <f t="shared" si="3"/>
        <v>67567</v>
      </c>
      <c r="D86" s="13">
        <f t="shared" si="3"/>
        <v>81294</v>
      </c>
      <c r="E86" s="13">
        <f t="shared" si="3"/>
        <v>56980</v>
      </c>
      <c r="F86" s="13">
        <f t="shared" si="3"/>
        <v>0</v>
      </c>
      <c r="G86" s="13">
        <f t="shared" si="3"/>
        <v>76144</v>
      </c>
      <c r="H86" s="10">
        <f t="shared" si="4"/>
        <v>281985</v>
      </c>
    </row>
    <row r="87" spans="2:8" ht="18.75" x14ac:dyDescent="0.25">
      <c r="B87" s="109" t="s">
        <v>221</v>
      </c>
      <c r="C87" s="13">
        <f t="shared" si="3"/>
        <v>72157</v>
      </c>
      <c r="D87" s="13">
        <f t="shared" si="3"/>
        <v>0</v>
      </c>
      <c r="E87" s="13">
        <f t="shared" si="3"/>
        <v>0</v>
      </c>
      <c r="F87" s="13">
        <f t="shared" si="3"/>
        <v>135857</v>
      </c>
      <c r="G87" s="13">
        <f t="shared" si="3"/>
        <v>0</v>
      </c>
      <c r="H87" s="10">
        <f t="shared" si="4"/>
        <v>208014</v>
      </c>
    </row>
    <row r="88" spans="2:8" ht="22.5" customHeight="1" x14ac:dyDescent="0.25">
      <c r="B88" s="108" t="s">
        <v>276</v>
      </c>
      <c r="C88" s="10">
        <f>SUM(C84:C87)</f>
        <v>232995</v>
      </c>
      <c r="D88" s="10">
        <f t="shared" ref="D88:G88" si="5">SUM(D84:D87)</f>
        <v>200756</v>
      </c>
      <c r="E88" s="10">
        <f t="shared" si="5"/>
        <v>238772</v>
      </c>
      <c r="F88" s="10">
        <f t="shared" si="5"/>
        <v>135857</v>
      </c>
      <c r="G88" s="10">
        <f t="shared" si="5"/>
        <v>200019</v>
      </c>
      <c r="H88" s="10">
        <f t="shared" si="4"/>
        <v>1008399</v>
      </c>
    </row>
  </sheetData>
  <mergeCells count="1">
    <mergeCell ref="B82:H82"/>
  </mergeCells>
  <dataValidations count="2">
    <dataValidation type="textLength" operator="lessThanOrEqual" allowBlank="1" showInputMessage="1" showErrorMessage="1" sqref="D7 D67 D52 D37 D22">
      <formula1>5</formula1>
    </dataValidation>
    <dataValidation type="list" allowBlank="1" showInputMessage="1" showErrorMessage="1" sqref="D68 D53 D38 D23 D8">
      <formula1>#REF!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22"/>
  <sheetViews>
    <sheetView workbookViewId="0">
      <selection activeCell="D11" sqref="D11"/>
    </sheetView>
  </sheetViews>
  <sheetFormatPr defaultRowHeight="15" x14ac:dyDescent="0.25"/>
  <cols>
    <col min="3" max="3" width="13" bestFit="1" customWidth="1"/>
    <col min="4" max="4" width="14.5703125" bestFit="1" customWidth="1"/>
  </cols>
  <sheetData>
    <row r="1" spans="1:4" ht="16.5" thickBot="1" x14ac:dyDescent="0.3">
      <c r="A1" s="112" t="s">
        <v>277</v>
      </c>
      <c r="B1" s="113" t="s">
        <v>0</v>
      </c>
      <c r="C1" s="113" t="s">
        <v>45</v>
      </c>
      <c r="D1" s="113" t="s">
        <v>278</v>
      </c>
    </row>
    <row r="2" spans="1:4" ht="16.5" thickBot="1" x14ac:dyDescent="0.3">
      <c r="A2" s="114">
        <v>12345</v>
      </c>
      <c r="B2" s="115" t="s">
        <v>279</v>
      </c>
      <c r="C2" s="116">
        <v>41701</v>
      </c>
      <c r="D2" s="117">
        <v>0.9</v>
      </c>
    </row>
    <row r="3" spans="1:4" ht="16.5" thickBot="1" x14ac:dyDescent="0.3">
      <c r="A3" s="114">
        <v>24689</v>
      </c>
      <c r="B3" s="115" t="s">
        <v>280</v>
      </c>
      <c r="C3" s="116">
        <v>41701</v>
      </c>
      <c r="D3" s="117">
        <v>0.5</v>
      </c>
    </row>
    <row r="4" spans="1:4" ht="16.5" thickBot="1" x14ac:dyDescent="0.3">
      <c r="A4" s="114">
        <v>36912</v>
      </c>
      <c r="B4" s="115" t="s">
        <v>281</v>
      </c>
      <c r="C4" s="116">
        <v>41701</v>
      </c>
      <c r="D4" s="117">
        <v>0.6</v>
      </c>
    </row>
    <row r="5" spans="1:4" ht="16.5" thickBot="1" x14ac:dyDescent="0.3">
      <c r="A5" s="114">
        <v>48126</v>
      </c>
      <c r="B5" s="115" t="s">
        <v>282</v>
      </c>
      <c r="C5" s="116">
        <v>41701</v>
      </c>
      <c r="D5" s="117">
        <v>1.2</v>
      </c>
    </row>
    <row r="6" spans="1:4" ht="16.5" thickBot="1" x14ac:dyDescent="0.3">
      <c r="A6" s="114">
        <v>51015</v>
      </c>
      <c r="B6" s="115" t="s">
        <v>283</v>
      </c>
      <c r="C6" s="116">
        <v>41701</v>
      </c>
      <c r="D6" s="117">
        <v>0.85</v>
      </c>
    </row>
    <row r="7" spans="1:4" ht="16.5" thickBot="1" x14ac:dyDescent="0.3">
      <c r="A7" s="114">
        <v>61214</v>
      </c>
      <c r="B7" s="115" t="s">
        <v>284</v>
      </c>
      <c r="C7" s="116">
        <v>41701</v>
      </c>
      <c r="D7" s="117">
        <v>0.7</v>
      </c>
    </row>
    <row r="8" spans="1:4" ht="16.5" thickBot="1" x14ac:dyDescent="0.3">
      <c r="A8" s="114">
        <v>74895</v>
      </c>
      <c r="B8" s="115" t="s">
        <v>285</v>
      </c>
      <c r="C8" s="116">
        <v>41701</v>
      </c>
      <c r="D8" s="117">
        <v>0.87</v>
      </c>
    </row>
    <row r="9" spans="1:4" ht="16.5" thickBot="1" x14ac:dyDescent="0.3">
      <c r="A9" s="114">
        <v>12345</v>
      </c>
      <c r="B9" s="115" t="s">
        <v>279</v>
      </c>
      <c r="C9" s="116">
        <v>41702</v>
      </c>
      <c r="D9" s="117">
        <v>0.92</v>
      </c>
    </row>
    <row r="10" spans="1:4" ht="16.5" thickBot="1" x14ac:dyDescent="0.3">
      <c r="A10" s="114">
        <v>24689</v>
      </c>
      <c r="B10" s="115" t="s">
        <v>280</v>
      </c>
      <c r="C10" s="116">
        <v>41702</v>
      </c>
      <c r="D10" s="117">
        <v>0.15</v>
      </c>
    </row>
    <row r="11" spans="1:4" ht="16.5" thickBot="1" x14ac:dyDescent="0.3">
      <c r="A11" s="114">
        <v>36912</v>
      </c>
      <c r="B11" s="115" t="s">
        <v>281</v>
      </c>
      <c r="C11" s="116">
        <v>41702</v>
      </c>
      <c r="D11" s="117">
        <v>0.27</v>
      </c>
    </row>
    <row r="12" spans="1:4" ht="16.5" thickBot="1" x14ac:dyDescent="0.3">
      <c r="A12" s="114">
        <v>48126</v>
      </c>
      <c r="B12" s="115" t="s">
        <v>282</v>
      </c>
      <c r="C12" s="116">
        <v>41702</v>
      </c>
      <c r="D12" s="117">
        <v>0.52</v>
      </c>
    </row>
    <row r="13" spans="1:4" ht="16.5" thickBot="1" x14ac:dyDescent="0.3">
      <c r="A13" s="114">
        <v>51015</v>
      </c>
      <c r="B13" s="115" t="s">
        <v>283</v>
      </c>
      <c r="C13" s="116">
        <v>41702</v>
      </c>
      <c r="D13" s="117">
        <v>0.87</v>
      </c>
    </row>
    <row r="14" spans="1:4" ht="16.5" thickBot="1" x14ac:dyDescent="0.3">
      <c r="A14" s="114">
        <v>61214</v>
      </c>
      <c r="B14" s="115" t="s">
        <v>284</v>
      </c>
      <c r="C14" s="116">
        <v>41702</v>
      </c>
      <c r="D14" s="117">
        <v>0.92</v>
      </c>
    </row>
    <row r="15" spans="1:4" ht="16.5" thickBot="1" x14ac:dyDescent="0.3">
      <c r="A15" s="114">
        <v>74895</v>
      </c>
      <c r="B15" s="115" t="s">
        <v>285</v>
      </c>
      <c r="C15" s="116">
        <v>41702</v>
      </c>
      <c r="D15" s="117">
        <v>0.26</v>
      </c>
    </row>
    <row r="16" spans="1:4" ht="16.5" thickBot="1" x14ac:dyDescent="0.3">
      <c r="A16" s="114">
        <v>12345</v>
      </c>
      <c r="B16" s="115" t="s">
        <v>279</v>
      </c>
      <c r="C16" s="116">
        <v>41703</v>
      </c>
      <c r="D16" s="117">
        <v>0.52</v>
      </c>
    </row>
    <row r="17" spans="1:4" ht="16.5" thickBot="1" x14ac:dyDescent="0.3">
      <c r="A17" s="114">
        <v>24689</v>
      </c>
      <c r="B17" s="115" t="s">
        <v>280</v>
      </c>
      <c r="C17" s="116">
        <v>41703</v>
      </c>
      <c r="D17" s="117">
        <v>0.16</v>
      </c>
    </row>
    <row r="18" spans="1:4" ht="16.5" thickBot="1" x14ac:dyDescent="0.3">
      <c r="A18" s="114">
        <v>36912</v>
      </c>
      <c r="B18" s="115" t="s">
        <v>281</v>
      </c>
      <c r="C18" s="116">
        <v>41703</v>
      </c>
      <c r="D18" s="117">
        <v>0.27</v>
      </c>
    </row>
    <row r="19" spans="1:4" ht="16.5" thickBot="1" x14ac:dyDescent="0.3">
      <c r="A19" s="114">
        <v>48126</v>
      </c>
      <c r="B19" s="115" t="s">
        <v>282</v>
      </c>
      <c r="C19" s="116">
        <v>41703</v>
      </c>
      <c r="D19" s="117">
        <v>0.62</v>
      </c>
    </row>
    <row r="20" spans="1:4" ht="16.5" thickBot="1" x14ac:dyDescent="0.3">
      <c r="A20" s="114">
        <v>51015</v>
      </c>
      <c r="B20" s="115" t="s">
        <v>283</v>
      </c>
      <c r="C20" s="116">
        <v>41703</v>
      </c>
      <c r="D20" s="117">
        <v>0.87</v>
      </c>
    </row>
    <row r="21" spans="1:4" ht="16.5" thickBot="1" x14ac:dyDescent="0.3">
      <c r="A21" s="114">
        <v>61214</v>
      </c>
      <c r="B21" s="115" t="s">
        <v>284</v>
      </c>
      <c r="C21" s="116">
        <v>41703</v>
      </c>
      <c r="D21" s="117">
        <v>0.25</v>
      </c>
    </row>
    <row r="22" spans="1:4" ht="16.5" thickBot="1" x14ac:dyDescent="0.3">
      <c r="A22" s="114">
        <v>74895</v>
      </c>
      <c r="B22" s="115" t="s">
        <v>285</v>
      </c>
      <c r="C22" s="116">
        <v>41703</v>
      </c>
      <c r="D22" s="117">
        <v>0.28999999999999998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8"/>
  <sheetViews>
    <sheetView workbookViewId="0">
      <selection activeCell="F16" sqref="F16"/>
    </sheetView>
  </sheetViews>
  <sheetFormatPr defaultRowHeight="15" x14ac:dyDescent="0.25"/>
  <sheetData>
    <row r="1" spans="1:5" ht="16.5" thickBot="1" x14ac:dyDescent="0.3">
      <c r="A1" s="112" t="s">
        <v>277</v>
      </c>
      <c r="B1" s="113" t="s">
        <v>0</v>
      </c>
      <c r="C1" s="118">
        <v>41701</v>
      </c>
      <c r="D1" s="118">
        <v>41702</v>
      </c>
      <c r="E1" s="118">
        <v>41703</v>
      </c>
    </row>
    <row r="2" spans="1:5" ht="15.75" thickBot="1" x14ac:dyDescent="0.3">
      <c r="A2" s="114">
        <v>12345</v>
      </c>
      <c r="B2" s="119" t="s">
        <v>279</v>
      </c>
      <c r="C2" s="120">
        <f>SUMPRODUCT(('Raw Data'!$A$2:$A$22=Sheet12!$A2)*('Raw Data'!$B$2:$B$22=Sheet12!$B2)*('Raw Data'!$C$2:$C$22=Sheet12!C$1)*'Raw Data'!$D$2:$D$22)</f>
        <v>0.9</v>
      </c>
      <c r="D2" s="120">
        <f>SUMPRODUCT(('Raw Data'!$A$2:$A$22=Sheet12!$A2)*('Raw Data'!$B$2:$B$22=Sheet12!$B2)*('Raw Data'!$C$2:$C$22=Sheet12!D$1)*'Raw Data'!$D$2:$D$22)</f>
        <v>0.92</v>
      </c>
      <c r="E2" s="120">
        <f>SUMPRODUCT(('Raw Data'!$A$2:$A$22=Sheet12!$A2)*('Raw Data'!$B$2:$B$22=Sheet12!$B2)*('Raw Data'!$C$2:$C$22=Sheet12!E$1)*'Raw Data'!$D$2:$D$22)</f>
        <v>0.52</v>
      </c>
    </row>
    <row r="3" spans="1:5" ht="15.75" thickBot="1" x14ac:dyDescent="0.3">
      <c r="A3" s="114">
        <v>24689</v>
      </c>
      <c r="B3" s="119" t="s">
        <v>280</v>
      </c>
      <c r="C3" s="120">
        <f>SUMPRODUCT(('Raw Data'!$A$2:$A$22=Sheet12!$A3)*('Raw Data'!$B$2:$B$22=Sheet12!$B3)*('Raw Data'!$C$2:$C$22=Sheet12!C$1)*'Raw Data'!$D$2:$D$22)</f>
        <v>0.5</v>
      </c>
      <c r="D3" s="120">
        <f>SUMPRODUCT(('Raw Data'!$A$2:$A$22=Sheet12!$A3)*('Raw Data'!$B$2:$B$22=Sheet12!$B3)*('Raw Data'!$C$2:$C$22=Sheet12!D$1)*'Raw Data'!$D$2:$D$22)</f>
        <v>0.15</v>
      </c>
      <c r="E3" s="120">
        <f>SUMPRODUCT(('Raw Data'!$A$2:$A$22=Sheet12!$A3)*('Raw Data'!$B$2:$B$22=Sheet12!$B3)*('Raw Data'!$C$2:$C$22=Sheet12!E$1)*'Raw Data'!$D$2:$D$22)</f>
        <v>0.16</v>
      </c>
    </row>
    <row r="4" spans="1:5" ht="15.75" thickBot="1" x14ac:dyDescent="0.3">
      <c r="A4" s="114">
        <v>36912</v>
      </c>
      <c r="B4" s="119" t="s">
        <v>281</v>
      </c>
      <c r="C4" s="120">
        <f>SUMPRODUCT(('Raw Data'!$A$2:$A$22=Sheet12!$A4)*('Raw Data'!$B$2:$B$22=Sheet12!$B4)*('Raw Data'!$C$2:$C$22=Sheet12!C$1)*'Raw Data'!$D$2:$D$22)</f>
        <v>0.6</v>
      </c>
      <c r="D4" s="120">
        <f>SUMPRODUCT(('Raw Data'!$A$2:$A$22=Sheet12!$A4)*('Raw Data'!$B$2:$B$22=Sheet12!$B4)*('Raw Data'!$C$2:$C$22=Sheet12!D$1)*'Raw Data'!$D$2:$D$22)</f>
        <v>0.27</v>
      </c>
      <c r="E4" s="120">
        <f>SUMPRODUCT(('Raw Data'!$A$2:$A$22=Sheet12!$A4)*('Raw Data'!$B$2:$B$22=Sheet12!$B4)*('Raw Data'!$C$2:$C$22=Sheet12!E$1)*'Raw Data'!$D$2:$D$22)</f>
        <v>0.27</v>
      </c>
    </row>
    <row r="5" spans="1:5" ht="15.75" thickBot="1" x14ac:dyDescent="0.3">
      <c r="A5" s="114">
        <v>48126</v>
      </c>
      <c r="B5" s="119" t="s">
        <v>282</v>
      </c>
      <c r="C5" s="120">
        <f>SUMPRODUCT(('Raw Data'!$A$2:$A$22=Sheet12!$A5)*('Raw Data'!$B$2:$B$22=Sheet12!$B5)*('Raw Data'!$C$2:$C$22=Sheet12!C$1)*'Raw Data'!$D$2:$D$22)</f>
        <v>1.2</v>
      </c>
      <c r="D5" s="120">
        <f>SUMPRODUCT(('Raw Data'!$A$2:$A$22=Sheet12!$A5)*('Raw Data'!$B$2:$B$22=Sheet12!$B5)*('Raw Data'!$C$2:$C$22=Sheet12!D$1)*'Raw Data'!$D$2:$D$22)</f>
        <v>0.52</v>
      </c>
      <c r="E5" s="120">
        <f>SUMPRODUCT(('Raw Data'!$A$2:$A$22=Sheet12!$A5)*('Raw Data'!$B$2:$B$22=Sheet12!$B5)*('Raw Data'!$C$2:$C$22=Sheet12!E$1)*'Raw Data'!$D$2:$D$22)</f>
        <v>0.62</v>
      </c>
    </row>
    <row r="6" spans="1:5" ht="15.75" thickBot="1" x14ac:dyDescent="0.3">
      <c r="A6" s="114">
        <v>51015</v>
      </c>
      <c r="B6" s="119" t="s">
        <v>283</v>
      </c>
      <c r="C6" s="120">
        <f>SUMPRODUCT(('Raw Data'!$A$2:$A$22=Sheet12!$A6)*('Raw Data'!$B$2:$B$22=Sheet12!$B6)*('Raw Data'!$C$2:$C$22=Sheet12!C$1)*'Raw Data'!$D$2:$D$22)</f>
        <v>0.85</v>
      </c>
      <c r="D6" s="120">
        <f>SUMPRODUCT(('Raw Data'!$A$2:$A$22=Sheet12!$A6)*('Raw Data'!$B$2:$B$22=Sheet12!$B6)*('Raw Data'!$C$2:$C$22=Sheet12!D$1)*'Raw Data'!$D$2:$D$22)</f>
        <v>0.87</v>
      </c>
      <c r="E6" s="120">
        <f>SUMPRODUCT(('Raw Data'!$A$2:$A$22=Sheet12!$A6)*('Raw Data'!$B$2:$B$22=Sheet12!$B6)*('Raw Data'!$C$2:$C$22=Sheet12!E$1)*'Raw Data'!$D$2:$D$22)</f>
        <v>0.87</v>
      </c>
    </row>
    <row r="7" spans="1:5" ht="15.75" thickBot="1" x14ac:dyDescent="0.3">
      <c r="A7" s="114">
        <v>61214</v>
      </c>
      <c r="B7" s="119" t="s">
        <v>284</v>
      </c>
      <c r="C7" s="120">
        <f>SUMPRODUCT(('Raw Data'!$A$2:$A$22=Sheet12!$A7)*('Raw Data'!$B$2:$B$22=Sheet12!$B7)*('Raw Data'!$C$2:$C$22=Sheet12!C$1)*'Raw Data'!$D$2:$D$22)</f>
        <v>0.7</v>
      </c>
      <c r="D7" s="120">
        <f>SUMPRODUCT(('Raw Data'!$A$2:$A$22=Sheet12!$A7)*('Raw Data'!$B$2:$B$22=Sheet12!$B7)*('Raw Data'!$C$2:$C$22=Sheet12!D$1)*'Raw Data'!$D$2:$D$22)</f>
        <v>0.92</v>
      </c>
      <c r="E7" s="120">
        <f>SUMPRODUCT(('Raw Data'!$A$2:$A$22=Sheet12!$A7)*('Raw Data'!$B$2:$B$22=Sheet12!$B7)*('Raw Data'!$C$2:$C$22=Sheet12!E$1)*'Raw Data'!$D$2:$D$22)</f>
        <v>0.25</v>
      </c>
    </row>
    <row r="8" spans="1:5" ht="15.75" thickBot="1" x14ac:dyDescent="0.3">
      <c r="A8" s="114">
        <v>74895</v>
      </c>
      <c r="B8" s="119" t="s">
        <v>285</v>
      </c>
      <c r="C8" s="120">
        <f>SUMPRODUCT(('Raw Data'!$A$2:$A$22=Sheet12!$A8)*('Raw Data'!$B$2:$B$22=Sheet12!$B8)*('Raw Data'!$C$2:$C$22=Sheet12!C$1)*'Raw Data'!$D$2:$D$22)</f>
        <v>0.87</v>
      </c>
      <c r="D8" s="120">
        <f>SUMPRODUCT(('Raw Data'!$A$2:$A$22=Sheet12!$A8)*('Raw Data'!$B$2:$B$22=Sheet12!$B8)*('Raw Data'!$C$2:$C$22=Sheet12!D$1)*'Raw Data'!$D$2:$D$22)</f>
        <v>0.26</v>
      </c>
      <c r="E8" s="120">
        <f>SUMPRODUCT(('Raw Data'!$A$2:$A$22=Sheet12!$A8)*('Raw Data'!$B$2:$B$22=Sheet12!$B8)*('Raw Data'!$C$2:$C$22=Sheet12!E$1)*'Raw Data'!$D$2:$D$22)</f>
        <v>0.28999999999999998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16"/>
  <sheetViews>
    <sheetView tabSelected="1" workbookViewId="0">
      <selection activeCell="G5" sqref="G5"/>
    </sheetView>
  </sheetViews>
  <sheetFormatPr defaultRowHeight="15" x14ac:dyDescent="0.25"/>
  <sheetData>
    <row r="1" spans="1:9" ht="15.75" thickBot="1" x14ac:dyDescent="0.3">
      <c r="A1" s="137" t="s">
        <v>0</v>
      </c>
      <c r="B1" s="138" t="s">
        <v>286</v>
      </c>
      <c r="C1" s="139" t="s">
        <v>287</v>
      </c>
      <c r="F1" s="137" t="s">
        <v>0</v>
      </c>
      <c r="G1" s="148" t="s">
        <v>289</v>
      </c>
      <c r="H1" s="148" t="s">
        <v>290</v>
      </c>
      <c r="I1" s="149" t="s">
        <v>291</v>
      </c>
    </row>
    <row r="2" spans="1:9" x14ac:dyDescent="0.25">
      <c r="A2" s="140" t="s">
        <v>3</v>
      </c>
      <c r="B2" s="141">
        <v>49260</v>
      </c>
      <c r="C2" s="142">
        <v>40210</v>
      </c>
      <c r="F2" s="140" t="s">
        <v>3</v>
      </c>
      <c r="G2" s="111">
        <f t="array" ref="G2">SUMPRODUCT(($A$2:$A$16=$F2)*(TEXT($C$2:$C$16,"mmm")=G$1)*($B$2:$B$16))</f>
        <v>0</v>
      </c>
      <c r="H2" s="111">
        <f t="array" ref="H2">SUMPRODUCT(($A$2:$A$16=$F2)*(TEXT($C$2:$C$16,"mmm")=H$1)*($B$2:$B$16))</f>
        <v>147780</v>
      </c>
      <c r="I2" s="111">
        <f t="array" ref="I2">SUMPRODUCT(($A$2:$A$16=$F2)*(TEXT($C$2:$C$16,"mmm")=I$1)*($B$2:$B$16))</f>
        <v>0</v>
      </c>
    </row>
    <row r="3" spans="1:9" x14ac:dyDescent="0.25">
      <c r="A3" s="143" t="s">
        <v>4</v>
      </c>
      <c r="B3" s="111">
        <v>20236</v>
      </c>
      <c r="C3" s="144">
        <v>40210</v>
      </c>
      <c r="F3" s="143" t="s">
        <v>4</v>
      </c>
      <c r="G3" s="111">
        <f t="array" ref="G3">SUMPRODUCT(($A$2:$A$16=$F3)*(TEXT($C$2:$C$16,"mmm")=G$1)*($B$2:$B$16))</f>
        <v>0</v>
      </c>
      <c r="H3" s="111">
        <f t="array" ref="H3">SUMPRODUCT(($A$2:$A$16=$F3)*(TEXT($C$2:$C$16,"mmm")=H$1)*($B$2:$B$16))</f>
        <v>60708</v>
      </c>
      <c r="I3" s="111">
        <f t="array" ref="I3">SUMPRODUCT(($A$2:$A$16=$F3)*(TEXT($C$2:$C$16,"mmm")=I$1)*($B$2:$B$16))</f>
        <v>0</v>
      </c>
    </row>
    <row r="4" spans="1:9" x14ac:dyDescent="0.25">
      <c r="A4" s="143" t="s">
        <v>6</v>
      </c>
      <c r="B4" s="111">
        <v>9232</v>
      </c>
      <c r="C4" s="144">
        <v>40179</v>
      </c>
      <c r="F4" s="143" t="s">
        <v>6</v>
      </c>
      <c r="G4" s="111">
        <f t="array" ref="G4">SUMPRODUCT(($A$2:$A$16=$F4)*(TEXT($C$2:$C$16,"mmm")=G$1)*($B$2:$B$16))</f>
        <v>27696</v>
      </c>
      <c r="H4" s="111">
        <f t="array" ref="H4">SUMPRODUCT(($A$2:$A$16=$F4)*(TEXT($C$2:$C$16,"mmm")=H$1)*($B$2:$B$16))</f>
        <v>0</v>
      </c>
      <c r="I4" s="111">
        <f t="array" ref="I4">SUMPRODUCT(($A$2:$A$16=$F4)*(TEXT($C$2:$C$16,"mmm")=I$1)*($B$2:$B$16))</f>
        <v>0</v>
      </c>
    </row>
    <row r="5" spans="1:9" x14ac:dyDescent="0.25">
      <c r="A5" s="143" t="s">
        <v>5</v>
      </c>
      <c r="B5" s="111">
        <v>47206</v>
      </c>
      <c r="C5" s="144">
        <v>40179</v>
      </c>
      <c r="F5" s="143" t="s">
        <v>5</v>
      </c>
      <c r="G5" s="111">
        <f t="array" ref="G5">SUMPRODUCT(($A$2:$A$16=$F5)*(TEXT($C$2:$C$16,"mmm")=G$1)*($B$2:$B$16))</f>
        <v>141618</v>
      </c>
      <c r="H5" s="111">
        <f t="array" ref="H5">SUMPRODUCT(($A$2:$A$16=$F5)*(TEXT($C$2:$C$16,"mmm")=H$1)*($B$2:$B$16))</f>
        <v>0</v>
      </c>
      <c r="I5" s="111">
        <f t="array" ref="I5">SUMPRODUCT(($A$2:$A$16=$F5)*(TEXT($C$2:$C$16,"mmm")=I$1)*($B$2:$B$16))</f>
        <v>0</v>
      </c>
    </row>
    <row r="6" spans="1:9" ht="15.75" thickBot="1" x14ac:dyDescent="0.3">
      <c r="A6" s="143" t="s">
        <v>288</v>
      </c>
      <c r="B6" s="111">
        <v>24726</v>
      </c>
      <c r="C6" s="144">
        <v>40238</v>
      </c>
      <c r="F6" s="145" t="s">
        <v>288</v>
      </c>
      <c r="G6" s="111">
        <f t="array" ref="G6">SUMPRODUCT(($A$2:$A$16=$F6)*(TEXT($C$2:$C$16,"mmm")=G$1)*($B$2:$B$16))</f>
        <v>0</v>
      </c>
      <c r="H6" s="111">
        <f t="array" ref="H6">SUMPRODUCT(($A$2:$A$16=$F6)*(TEXT($C$2:$C$16,"mmm")=H$1)*($B$2:$B$16))</f>
        <v>0</v>
      </c>
      <c r="I6" s="111">
        <f t="array" ref="I6">SUMPRODUCT(($A$2:$A$16=$F6)*(TEXT($C$2:$C$16,"mmm")=I$1)*($B$2:$B$16))</f>
        <v>74178</v>
      </c>
    </row>
    <row r="7" spans="1:9" x14ac:dyDescent="0.25">
      <c r="A7" s="143" t="s">
        <v>3</v>
      </c>
      <c r="B7" s="111">
        <v>49260</v>
      </c>
      <c r="C7" s="144">
        <v>40210</v>
      </c>
    </row>
    <row r="8" spans="1:9" x14ac:dyDescent="0.25">
      <c r="A8" s="143" t="s">
        <v>4</v>
      </c>
      <c r="B8" s="111">
        <v>20236</v>
      </c>
      <c r="C8" s="144">
        <v>40210</v>
      </c>
    </row>
    <row r="9" spans="1:9" x14ac:dyDescent="0.25">
      <c r="A9" s="143" t="s">
        <v>6</v>
      </c>
      <c r="B9" s="111">
        <v>9232</v>
      </c>
      <c r="C9" s="144">
        <v>40179</v>
      </c>
    </row>
    <row r="10" spans="1:9" x14ac:dyDescent="0.25">
      <c r="A10" s="143" t="s">
        <v>5</v>
      </c>
      <c r="B10" s="111">
        <v>47206</v>
      </c>
      <c r="C10" s="144">
        <v>40179</v>
      </c>
    </row>
    <row r="11" spans="1:9" x14ac:dyDescent="0.25">
      <c r="A11" s="143" t="s">
        <v>288</v>
      </c>
      <c r="B11" s="111">
        <v>24726</v>
      </c>
      <c r="C11" s="144">
        <v>40238</v>
      </c>
    </row>
    <row r="12" spans="1:9" x14ac:dyDescent="0.25">
      <c r="A12" s="143" t="s">
        <v>3</v>
      </c>
      <c r="B12" s="111">
        <v>49260</v>
      </c>
      <c r="C12" s="144">
        <v>40210</v>
      </c>
    </row>
    <row r="13" spans="1:9" x14ac:dyDescent="0.25">
      <c r="A13" s="143" t="s">
        <v>4</v>
      </c>
      <c r="B13" s="111">
        <v>20236</v>
      </c>
      <c r="C13" s="144">
        <v>40210</v>
      </c>
    </row>
    <row r="14" spans="1:9" x14ac:dyDescent="0.25">
      <c r="A14" s="143" t="s">
        <v>6</v>
      </c>
      <c r="B14" s="111">
        <v>9232</v>
      </c>
      <c r="C14" s="144">
        <v>40179</v>
      </c>
    </row>
    <row r="15" spans="1:9" x14ac:dyDescent="0.25">
      <c r="A15" s="143" t="s">
        <v>5</v>
      </c>
      <c r="B15" s="111">
        <v>47206</v>
      </c>
      <c r="C15" s="144">
        <v>40179</v>
      </c>
    </row>
    <row r="16" spans="1:9" ht="15.75" thickBot="1" x14ac:dyDescent="0.3">
      <c r="A16" s="145" t="s">
        <v>288</v>
      </c>
      <c r="B16" s="146">
        <v>24726</v>
      </c>
      <c r="C16" s="147">
        <v>40238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Sheet1</vt:lpstr>
      <vt:lpstr>Sheet2</vt:lpstr>
      <vt:lpstr>Sheet3</vt:lpstr>
      <vt:lpstr>Sumproduct with Text</vt:lpstr>
      <vt:lpstr>Sheet5</vt:lpstr>
      <vt:lpstr>Sheet6</vt:lpstr>
      <vt:lpstr>Sheet4</vt:lpstr>
      <vt:lpstr>Sheet7</vt:lpstr>
      <vt:lpstr>Sheet8</vt:lpstr>
      <vt:lpstr>Sheet9</vt:lpstr>
      <vt:lpstr>Sheet10</vt:lpstr>
      <vt:lpstr>Raw Data</vt:lpstr>
      <vt:lpstr>Sheet12</vt:lpstr>
      <vt:lpstr>Sheet11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Bansal</dc:creator>
  <cp:lastModifiedBy>Sumit</cp:lastModifiedBy>
  <dcterms:created xsi:type="dcterms:W3CDTF">2013-10-06T08:44:11Z</dcterms:created>
  <dcterms:modified xsi:type="dcterms:W3CDTF">2016-07-15T11:36:34Z</dcterms:modified>
</cp:coreProperties>
</file>