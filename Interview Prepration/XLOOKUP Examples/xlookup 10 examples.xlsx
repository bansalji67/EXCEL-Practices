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ractice me on Excel\Interview Prepration\XLOOKUP Examples\"/>
    </mc:Choice>
  </mc:AlternateContent>
  <xr:revisionPtr revIDLastSave="0" documentId="13_ncr:1_{38FBCA14-9A69-4994-8EEB-A78CB2174655}" xr6:coauthVersionLast="47" xr6:coauthVersionMax="47" xr10:uidLastSave="{00000000-0000-0000-0000-000000000000}"/>
  <bookViews>
    <workbookView xWindow="-103" yWindow="-103" windowWidth="22149" windowHeight="13200" xr2:uid="{684343CC-5150-4B50-A3A9-D6EDC59D2672}"/>
  </bookViews>
  <sheets>
    <sheet name="1" sheetId="1" r:id="rId1"/>
    <sheet name="2" sheetId="4" r:id="rId2"/>
    <sheet name="3" sheetId="5" r:id="rId3"/>
    <sheet name="4" sheetId="3" r:id="rId4"/>
    <sheet name="5" sheetId="6" r:id="rId5"/>
    <sheet name="6" sheetId="7" r:id="rId6"/>
    <sheet name="7" sheetId="8" r:id="rId7"/>
    <sheet name="8" sheetId="9" r:id="rId8"/>
    <sheet name="9" sheetId="10" r:id="rId9"/>
    <sheet name="10 (2)" sheetId="11" r:id="rId10"/>
    <sheet name="10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1" l="1"/>
  <c r="I5" i="11"/>
  <c r="D16" i="1"/>
  <c r="D12" i="1"/>
  <c r="G5" i="2"/>
  <c r="J5" i="2"/>
  <c r="C12" i="10" a="1"/>
  <c r="C12" i="10" s="1"/>
  <c r="C17" i="9" a="1"/>
  <c r="C17" i="9" s="1"/>
  <c r="C12" i="9" a="1"/>
  <c r="C12" i="9" s="1"/>
  <c r="I4" i="8"/>
  <c r="I5" i="8"/>
  <c r="I6" i="8"/>
  <c r="I7" i="8"/>
  <c r="I8" i="8"/>
  <c r="I3" i="8"/>
  <c r="C12" i="8"/>
  <c r="D12" i="7" a="1"/>
  <c r="D12" i="7" s="1"/>
  <c r="C11" i="6" a="1"/>
  <c r="C11" i="6" s="1"/>
  <c r="D12" i="3" a="1"/>
  <c r="D12" i="3" s="1"/>
  <c r="C16" i="5" a="1"/>
  <c r="C16" i="5" s="1"/>
  <c r="C12" i="5" a="1"/>
  <c r="C12" i="5" s="1"/>
  <c r="D17" i="4" a="1"/>
  <c r="D17" i="4" s="1"/>
  <c r="C13" i="4" a="1"/>
  <c r="C13" i="4" s="1"/>
  <c r="C16" i="1"/>
  <c r="C12" i="1"/>
  <c r="D9" i="9"/>
  <c r="E9" i="9"/>
  <c r="F9" i="9"/>
  <c r="G9" i="9"/>
  <c r="H9" i="9"/>
  <c r="I9" i="9"/>
  <c r="C9" i="9"/>
  <c r="I3" i="10"/>
  <c r="I4" i="10"/>
  <c r="I5" i="10"/>
  <c r="I6" i="10"/>
  <c r="I7" i="10"/>
  <c r="I8" i="10"/>
  <c r="I4" i="9"/>
  <c r="I5" i="9"/>
  <c r="I6" i="9"/>
  <c r="I7" i="9"/>
  <c r="I8" i="9"/>
  <c r="I3" i="9"/>
  <c r="J8" i="6"/>
  <c r="J7" i="6"/>
  <c r="J6" i="6"/>
  <c r="J5" i="6"/>
  <c r="J4" i="6"/>
  <c r="J3" i="6"/>
  <c r="J8" i="5"/>
  <c r="J7" i="5"/>
  <c r="J6" i="5"/>
  <c r="J5" i="5"/>
  <c r="J4" i="5"/>
  <c r="J3" i="5"/>
  <c r="J8" i="4"/>
  <c r="J7" i="4"/>
  <c r="J6" i="4"/>
  <c r="J5" i="4"/>
  <c r="J4" i="4"/>
  <c r="J3" i="4"/>
  <c r="J8" i="3"/>
  <c r="J7" i="3"/>
  <c r="J6" i="3"/>
  <c r="J5" i="3"/>
  <c r="J4" i="3"/>
  <c r="J3" i="3"/>
  <c r="J4" i="1"/>
  <c r="J5" i="1"/>
  <c r="J6" i="1"/>
  <c r="J7" i="1"/>
  <c r="J8" i="1"/>
  <c r="J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<sst xmlns="http://schemas.openxmlformats.org/spreadsheetml/2006/main" count="278" uniqueCount="28">
  <si>
    <t>Product</t>
  </si>
  <si>
    <t>Jan</t>
  </si>
  <si>
    <t>Feb</t>
  </si>
  <si>
    <t>Mar</t>
  </si>
  <si>
    <t>Apr</t>
  </si>
  <si>
    <t>May</t>
  </si>
  <si>
    <t>Jun</t>
  </si>
  <si>
    <t>Microwave</t>
  </si>
  <si>
    <t>Phone</t>
  </si>
  <si>
    <t>Laptop</t>
  </si>
  <si>
    <t>Speaker</t>
  </si>
  <si>
    <t>HSN Code</t>
  </si>
  <si>
    <t>XYZ001</t>
  </si>
  <si>
    <t>XYZ002</t>
  </si>
  <si>
    <t>XYZ003</t>
  </si>
  <si>
    <t>XYZ004</t>
  </si>
  <si>
    <t>XYZ005</t>
  </si>
  <si>
    <t>XYZ006</t>
  </si>
  <si>
    <t>AC</t>
  </si>
  <si>
    <t>Oven</t>
  </si>
  <si>
    <t>Total Sale</t>
  </si>
  <si>
    <t>Month</t>
  </si>
  <si>
    <t>Total</t>
  </si>
  <si>
    <t>Amount</t>
  </si>
  <si>
    <t>Qty Sold</t>
  </si>
  <si>
    <t>VLOOKUP</t>
  </si>
  <si>
    <t>XLOOKUP</t>
  </si>
  <si>
    <t>Link-----https://www.youtube.com/watch?v=sPVl7_yVjLU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</si>
</sst>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0" borderId="0" xfId="0" applyFont="1"/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28E26-8783-43BA-80EA-6903AA713A6F}">
  <dimension ref="B2:J16"/>
  <sheetViews>
    <sheetView tabSelected="1" zoomScale="115" zoomScaleNormal="115" workbookViewId="0">
      <selection activeCell="E13" sqref="E13"/>
    </sheetView>
  </sheetViews>
  <sheetFormatPr defaultRowHeight="18.45" x14ac:dyDescent="0.5"/>
  <cols>
    <col min="1" max="1" width="6.64453125" customWidth="1"/>
    <col min="2" max="3" width="10.234375" customWidth="1"/>
    <col min="4" max="9" width="7.76171875" customWidth="1"/>
    <col min="10" max="10" width="9.234375" customWidth="1"/>
    <col min="11" max="11" width="5.3515625" customWidth="1"/>
  </cols>
  <sheetData>
    <row r="2" spans="2:10" x14ac:dyDescent="0.5">
      <c r="B2" s="1" t="s">
        <v>11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20</v>
      </c>
    </row>
    <row r="3" spans="2:10" x14ac:dyDescent="0.5">
      <c r="B3" s="2" t="s">
        <v>12</v>
      </c>
      <c r="C3" s="2" t="s">
        <v>7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>SUM(D3:I3)</f>
        <v>1958540</v>
      </c>
    </row>
    <row r="4" spans="2:10" x14ac:dyDescent="0.5">
      <c r="B4" s="2" t="s">
        <v>13</v>
      </c>
      <c r="C4" s="2" t="s">
        <v>8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ref="J4:J8" si="0">SUM(D4:I4)</f>
        <v>1228000</v>
      </c>
    </row>
    <row r="5" spans="2:10" x14ac:dyDescent="0.5">
      <c r="B5" s="2" t="s">
        <v>14</v>
      </c>
      <c r="C5" s="2" t="s">
        <v>9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5">
      <c r="B6" s="2" t="s">
        <v>15</v>
      </c>
      <c r="C6" s="2" t="s">
        <v>10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5">
      <c r="B7" s="2" t="s">
        <v>16</v>
      </c>
      <c r="C7" s="2" t="s">
        <v>18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5">
      <c r="B8" s="2" t="s">
        <v>17</v>
      </c>
      <c r="C8" s="2" t="s">
        <v>19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1" spans="2:10" x14ac:dyDescent="0.5">
      <c r="B11" s="1" t="s">
        <v>11</v>
      </c>
      <c r="C11" s="1" t="s">
        <v>20</v>
      </c>
    </row>
    <row r="12" spans="2:10" x14ac:dyDescent="0.5">
      <c r="B12" s="2" t="s">
        <v>13</v>
      </c>
      <c r="C12" s="3">
        <f>_xlfn.XLOOKUP(B12,B3:B8,J3:J8)</f>
        <v>1228000</v>
      </c>
      <c r="D12">
        <f>_xlfn.XLOOKUP(B12,$B$3:$B$8,$J$3:$J$8)</f>
        <v>1228000</v>
      </c>
    </row>
    <row r="15" spans="2:10" x14ac:dyDescent="0.5">
      <c r="B15" s="1" t="s">
        <v>0</v>
      </c>
      <c r="C15" s="1" t="s">
        <v>11</v>
      </c>
    </row>
    <row r="16" spans="2:10" x14ac:dyDescent="0.5">
      <c r="B16" s="2" t="s">
        <v>8</v>
      </c>
      <c r="C16" s="3" t="str">
        <f>_xlfn.XLOOKUP(B16,C3:C8,B3:B8)</f>
        <v>XYZ002</v>
      </c>
      <c r="D16" t="str">
        <f>_xlfn.XLOOKUP(B16,$C$3:$C$8,$B$3:$B$8)</f>
        <v>XYZ002</v>
      </c>
    </row>
  </sheetData>
  <phoneticPr fontId="2" type="noConversion"/>
  <dataValidations count="2">
    <dataValidation type="list" allowBlank="1" showInputMessage="1" showErrorMessage="1" sqref="B12" xr:uid="{365E3E3B-4560-4191-8412-20F5C087A0E8}">
      <formula1>$B$3:$B$8</formula1>
    </dataValidation>
    <dataValidation type="list" allowBlank="1" showInputMessage="1" showErrorMessage="1" sqref="B16" xr:uid="{DEDC3FA7-B0DE-45EA-970E-636C4D0F5C78}">
      <formula1>$C$3:$C$8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34E29-E634-421C-933F-F962327BFA48}">
  <dimension ref="B2:J17"/>
  <sheetViews>
    <sheetView zoomScale="115" zoomScaleNormal="115" workbookViewId="0">
      <selection activeCell="C17" sqref="C17"/>
    </sheetView>
  </sheetViews>
  <sheetFormatPr defaultRowHeight="18.45" x14ac:dyDescent="0.5"/>
  <cols>
    <col min="1" max="1" width="6.64453125" customWidth="1"/>
    <col min="2" max="3" width="10.234375" customWidth="1"/>
    <col min="4" max="9" width="7.76171875" customWidth="1"/>
    <col min="10" max="10" width="9.234375" customWidth="1"/>
    <col min="11" max="11" width="5.3515625" customWidth="1"/>
  </cols>
  <sheetData>
    <row r="2" spans="2:10" x14ac:dyDescent="0.5">
      <c r="B2" s="1" t="s">
        <v>11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20</v>
      </c>
    </row>
    <row r="3" spans="2:10" x14ac:dyDescent="0.5">
      <c r="B3" s="2" t="s">
        <v>12</v>
      </c>
      <c r="C3" s="2" t="s">
        <v>7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>SUM(D3:I3)</f>
        <v>1958540</v>
      </c>
    </row>
    <row r="4" spans="2:10" x14ac:dyDescent="0.5">
      <c r="B4" s="2" t="s">
        <v>13</v>
      </c>
      <c r="C4" s="2" t="s">
        <v>8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ref="J4:J8" si="0">SUM(D4:I4)</f>
        <v>1228000</v>
      </c>
    </row>
    <row r="5" spans="2:10" x14ac:dyDescent="0.5">
      <c r="B5" s="2" t="s">
        <v>14</v>
      </c>
      <c r="C5" s="2" t="s">
        <v>9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5">
      <c r="B6" s="2" t="s">
        <v>15</v>
      </c>
      <c r="C6" s="2" t="s">
        <v>10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5">
      <c r="B7" s="2" t="s">
        <v>16</v>
      </c>
      <c r="C7" s="2" t="s">
        <v>18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5">
      <c r="B8" s="2" t="s">
        <v>17</v>
      </c>
      <c r="C8" s="2" t="s">
        <v>19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2" spans="2:10" x14ac:dyDescent="0.5">
      <c r="B12" s="1" t="s">
        <v>11</v>
      </c>
      <c r="C12" s="1" t="s">
        <v>0</v>
      </c>
      <c r="D12" s="1" t="s">
        <v>1</v>
      </c>
      <c r="E12" s="1" t="s">
        <v>2</v>
      </c>
      <c r="F12" s="1" t="s">
        <v>3</v>
      </c>
      <c r="G12" s="1" t="s">
        <v>4</v>
      </c>
      <c r="H12" s="1" t="s">
        <v>5</v>
      </c>
      <c r="I12" s="1" t="s">
        <v>6</v>
      </c>
      <c r="J12" s="1" t="s">
        <v>20</v>
      </c>
    </row>
    <row r="13" spans="2:10" x14ac:dyDescent="0.5">
      <c r="B13" s="2" t="s">
        <v>13</v>
      </c>
      <c r="C13" s="3" t="str" cm="1">
        <f t="array" ref="C13:J13">_xlfn.XLOOKUP(B13,B3:B8,C3:J8)</f>
        <v>Phone</v>
      </c>
      <c r="D13" s="3">
        <v>4300</v>
      </c>
      <c r="E13" s="3">
        <v>4000</v>
      </c>
      <c r="F13" s="3">
        <v>66000</v>
      </c>
      <c r="G13" s="3">
        <v>670000</v>
      </c>
      <c r="H13" s="3">
        <v>439800</v>
      </c>
      <c r="I13" s="3">
        <v>43900</v>
      </c>
      <c r="J13" s="3">
        <v>1228000</v>
      </c>
    </row>
    <row r="16" spans="2:10" x14ac:dyDescent="0.5">
      <c r="C16" s="1" t="s">
        <v>0</v>
      </c>
      <c r="D16" s="1" t="s">
        <v>1</v>
      </c>
      <c r="E16" s="1" t="s">
        <v>2</v>
      </c>
      <c r="F16" s="1" t="s">
        <v>3</v>
      </c>
      <c r="G16" s="1" t="s">
        <v>4</v>
      </c>
      <c r="H16" s="1" t="s">
        <v>5</v>
      </c>
      <c r="I16" s="1" t="s">
        <v>6</v>
      </c>
      <c r="J16" s="1" t="s">
        <v>20</v>
      </c>
    </row>
    <row r="17" spans="3:10" x14ac:dyDescent="0.5">
      <c r="C17" s="2" t="s">
        <v>8</v>
      </c>
      <c r="D17" s="3" cm="1">
        <f t="array" ref="D17:J17">_xlfn.XLOOKUP(C17,C3:C8,D3:J8)</f>
        <v>4300</v>
      </c>
      <c r="E17" s="3">
        <v>4000</v>
      </c>
      <c r="F17" s="3">
        <v>66000</v>
      </c>
      <c r="G17" s="3">
        <v>670000</v>
      </c>
      <c r="H17" s="3">
        <v>439800</v>
      </c>
      <c r="I17" s="3">
        <v>43900</v>
      </c>
      <c r="J17" s="3">
        <v>1228000</v>
      </c>
    </row>
  </sheetData>
  <dataValidations count="1">
    <dataValidation type="list" allowBlank="1" showInputMessage="1" showErrorMessage="1" sqref="C17" xr:uid="{470CF5C8-CECC-41E4-A070-5DEE01707B87}">
      <formula1>$C$3:$C$8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AE564-EF97-49B0-9F5C-693FFB304515}">
  <dimension ref="B2:J16"/>
  <sheetViews>
    <sheetView zoomScale="115" zoomScaleNormal="115" workbookViewId="0">
      <selection activeCell="C16" sqref="C16"/>
    </sheetView>
  </sheetViews>
  <sheetFormatPr defaultRowHeight="18.45" x14ac:dyDescent="0.5"/>
  <cols>
    <col min="1" max="1" width="6.64453125" customWidth="1"/>
    <col min="2" max="3" width="10.234375" customWidth="1"/>
    <col min="4" max="9" width="7.76171875" customWidth="1"/>
    <col min="10" max="10" width="9.234375" customWidth="1"/>
    <col min="11" max="11" width="5.3515625" customWidth="1"/>
  </cols>
  <sheetData>
    <row r="2" spans="2:10" x14ac:dyDescent="0.5">
      <c r="B2" s="1" t="s">
        <v>11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20</v>
      </c>
    </row>
    <row r="3" spans="2:10" x14ac:dyDescent="0.5">
      <c r="B3" s="2" t="s">
        <v>12</v>
      </c>
      <c r="C3" s="2" t="s">
        <v>7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>SUM(D3:I3)</f>
        <v>1958540</v>
      </c>
    </row>
    <row r="4" spans="2:10" x14ac:dyDescent="0.5">
      <c r="B4" s="2" t="s">
        <v>13</v>
      </c>
      <c r="C4" s="2" t="s">
        <v>8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ref="J4:J8" si="0">SUM(D4:I4)</f>
        <v>1228000</v>
      </c>
    </row>
    <row r="5" spans="2:10" x14ac:dyDescent="0.5">
      <c r="B5" s="2" t="s">
        <v>14</v>
      </c>
      <c r="C5" s="2" t="s">
        <v>9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5">
      <c r="B6" s="2" t="s">
        <v>15</v>
      </c>
      <c r="C6" s="2" t="s">
        <v>10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5">
      <c r="B7" s="2" t="s">
        <v>16</v>
      </c>
      <c r="C7" s="2" t="s">
        <v>18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5">
      <c r="B8" s="2" t="s">
        <v>17</v>
      </c>
      <c r="C8" s="2" t="s">
        <v>19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1" spans="2:10" x14ac:dyDescent="0.5">
      <c r="B11" s="1" t="s">
        <v>11</v>
      </c>
      <c r="C11" s="1" t="s">
        <v>0</v>
      </c>
      <c r="D11" s="1" t="s">
        <v>22</v>
      </c>
    </row>
    <row r="12" spans="2:10" x14ac:dyDescent="0.5">
      <c r="B12" s="2" t="s">
        <v>15</v>
      </c>
      <c r="C12" s="3" t="str" cm="1">
        <f t="array" ref="C12:D12">_xlfn.XLOOKUP(B12,B3:B8,CHOOSE({1,2},C3:C8,J3:J8))</f>
        <v>Speaker</v>
      </c>
      <c r="D12" s="3">
        <v>583300</v>
      </c>
    </row>
    <row r="15" spans="2:10" x14ac:dyDescent="0.5">
      <c r="B15" s="1" t="s">
        <v>0</v>
      </c>
      <c r="C15" s="1" t="s">
        <v>11</v>
      </c>
      <c r="D15" s="1" t="s">
        <v>22</v>
      </c>
    </row>
    <row r="16" spans="2:10" x14ac:dyDescent="0.5">
      <c r="B16" s="2" t="s">
        <v>8</v>
      </c>
      <c r="C16" s="3" t="str" cm="1">
        <f t="array" ref="C16:D16">_xlfn.XLOOKUP(B16,C3:C8,CHOOSE({1,2},B3:B8,J3:J8))</f>
        <v>XYZ002</v>
      </c>
      <c r="D16" s="3">
        <v>1228000</v>
      </c>
    </row>
  </sheetData>
  <dataValidations count="2">
    <dataValidation type="list" allowBlank="1" showInputMessage="1" showErrorMessage="1" sqref="B12" xr:uid="{CCC18200-2A03-448C-8A2E-BA3F2BF89E8F}">
      <formula1>$B$3:$B$8</formula1>
    </dataValidation>
    <dataValidation type="list" allowBlank="1" showInputMessage="1" showErrorMessage="1" sqref="B16" xr:uid="{7F928117-E778-4535-BA67-7F7ED1AFBE78}">
      <formula1>$C$3:$C$8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7F754-0EC1-47C1-88E1-9272AE22133A}">
  <dimension ref="B2:J12"/>
  <sheetViews>
    <sheetView zoomScale="115" zoomScaleNormal="115" workbookViewId="0">
      <selection activeCell="D12" sqref="D12"/>
    </sheetView>
  </sheetViews>
  <sheetFormatPr defaultRowHeight="18.45" x14ac:dyDescent="0.5"/>
  <cols>
    <col min="1" max="1" width="6.64453125" customWidth="1"/>
    <col min="2" max="3" width="10.234375" customWidth="1"/>
    <col min="4" max="4" width="9.3515625" customWidth="1"/>
    <col min="5" max="9" width="7.76171875" customWidth="1"/>
    <col min="10" max="10" width="9.234375" customWidth="1"/>
  </cols>
  <sheetData>
    <row r="2" spans="2:10" x14ac:dyDescent="0.5">
      <c r="B2" s="1" t="s">
        <v>11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20</v>
      </c>
    </row>
    <row r="3" spans="2:10" x14ac:dyDescent="0.5">
      <c r="B3" s="2" t="s">
        <v>12</v>
      </c>
      <c r="C3" s="2" t="s">
        <v>7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>SUM(D3:I3)</f>
        <v>1958540</v>
      </c>
    </row>
    <row r="4" spans="2:10" x14ac:dyDescent="0.5">
      <c r="B4" s="2" t="s">
        <v>13</v>
      </c>
      <c r="C4" s="2" t="s">
        <v>8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ref="J4:J8" si="0">SUM(D4:I4)</f>
        <v>1228000</v>
      </c>
    </row>
    <row r="5" spans="2:10" x14ac:dyDescent="0.5">
      <c r="B5" s="2" t="s">
        <v>14</v>
      </c>
      <c r="C5" s="2" t="s">
        <v>9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5">
      <c r="B6" s="2" t="s">
        <v>15</v>
      </c>
      <c r="C6" s="2" t="s">
        <v>10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5">
      <c r="B7" s="2" t="s">
        <v>16</v>
      </c>
      <c r="C7" s="2" t="s">
        <v>9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5">
      <c r="B8" s="2" t="s">
        <v>17</v>
      </c>
      <c r="C8" s="2" t="s">
        <v>8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1" spans="2:10" x14ac:dyDescent="0.5">
      <c r="B11" s="1" t="s">
        <v>11</v>
      </c>
      <c r="C11" s="1" t="s">
        <v>0</v>
      </c>
      <c r="D11" s="1" t="s">
        <v>20</v>
      </c>
    </row>
    <row r="12" spans="2:10" x14ac:dyDescent="0.5">
      <c r="B12" s="2" t="s">
        <v>14</v>
      </c>
      <c r="C12" s="2" t="s">
        <v>9</v>
      </c>
      <c r="D12" cm="1">
        <f t="array" ref="D12">_xlfn.XLOOKUP(B12&amp;C12,B3:B8&amp;C3:C8,J3:J8)</f>
        <v>1991790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B820-AB0F-452F-8312-41839B5636CE}">
  <dimension ref="B2:J18"/>
  <sheetViews>
    <sheetView zoomScale="115" zoomScaleNormal="115" workbookViewId="0">
      <selection activeCell="C10" sqref="C10"/>
    </sheetView>
  </sheetViews>
  <sheetFormatPr defaultRowHeight="18.45" x14ac:dyDescent="0.5"/>
  <cols>
    <col min="1" max="1" width="6.64453125" customWidth="1"/>
    <col min="2" max="3" width="10.234375" customWidth="1"/>
    <col min="4" max="9" width="7.76171875" customWidth="1"/>
    <col min="10" max="10" width="9.234375" customWidth="1"/>
  </cols>
  <sheetData>
    <row r="2" spans="2:10" x14ac:dyDescent="0.5">
      <c r="B2" s="1" t="s">
        <v>11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20</v>
      </c>
    </row>
    <row r="3" spans="2:10" x14ac:dyDescent="0.5">
      <c r="B3" s="2" t="s">
        <v>12</v>
      </c>
      <c r="C3" s="2" t="s">
        <v>7</v>
      </c>
      <c r="D3" s="3">
        <v>1200</v>
      </c>
      <c r="E3" s="3">
        <v>4500</v>
      </c>
      <c r="F3" s="3">
        <v>760040</v>
      </c>
      <c r="G3" s="3">
        <v>980000</v>
      </c>
      <c r="H3" s="3">
        <v>2300</v>
      </c>
      <c r="I3" s="3">
        <v>210500</v>
      </c>
      <c r="J3" s="3">
        <f>SUM(D3:I3)</f>
        <v>1958540</v>
      </c>
    </row>
    <row r="4" spans="2:10" x14ac:dyDescent="0.5">
      <c r="B4" s="2" t="s">
        <v>13</v>
      </c>
      <c r="C4" s="2" t="s">
        <v>8</v>
      </c>
      <c r="D4" s="3">
        <v>4300</v>
      </c>
      <c r="E4" s="3">
        <v>4000</v>
      </c>
      <c r="F4" s="3">
        <v>66000</v>
      </c>
      <c r="G4" s="3">
        <v>670000</v>
      </c>
      <c r="H4" s="3">
        <v>439800</v>
      </c>
      <c r="I4" s="3">
        <v>43900</v>
      </c>
      <c r="J4" s="3">
        <f t="shared" ref="J4:J8" si="0">SUM(D4:I4)</f>
        <v>1228000</v>
      </c>
    </row>
    <row r="5" spans="2:10" x14ac:dyDescent="0.5">
      <c r="B5" s="2" t="s">
        <v>14</v>
      </c>
      <c r="C5" s="2" t="s">
        <v>9</v>
      </c>
      <c r="D5" s="3">
        <v>10000</v>
      </c>
      <c r="E5" s="3">
        <v>56000</v>
      </c>
      <c r="F5" s="3">
        <v>65000</v>
      </c>
      <c r="G5" s="3">
        <v>870000</v>
      </c>
      <c r="H5" s="3">
        <v>540790</v>
      </c>
      <c r="I5" s="3">
        <v>450000</v>
      </c>
      <c r="J5" s="3">
        <f t="shared" si="0"/>
        <v>1991790</v>
      </c>
    </row>
    <row r="6" spans="2:10" x14ac:dyDescent="0.5">
      <c r="B6" s="2" t="s">
        <v>15</v>
      </c>
      <c r="C6" s="2" t="s">
        <v>10</v>
      </c>
      <c r="D6" s="3">
        <v>43000</v>
      </c>
      <c r="E6" s="3">
        <v>76000</v>
      </c>
      <c r="F6" s="3">
        <v>450000</v>
      </c>
      <c r="G6" s="3">
        <v>3400</v>
      </c>
      <c r="H6" s="3">
        <v>5500</v>
      </c>
      <c r="I6" s="3">
        <v>5400</v>
      </c>
      <c r="J6" s="3">
        <f t="shared" si="0"/>
        <v>583300</v>
      </c>
    </row>
    <row r="7" spans="2:10" x14ac:dyDescent="0.5">
      <c r="B7" s="2" t="s">
        <v>16</v>
      </c>
      <c r="C7" s="2" t="s">
        <v>18</v>
      </c>
      <c r="D7" s="3">
        <v>2300</v>
      </c>
      <c r="E7" s="3">
        <v>5500</v>
      </c>
      <c r="F7" s="3">
        <v>54000</v>
      </c>
      <c r="G7" s="3">
        <v>45230</v>
      </c>
      <c r="H7" s="3">
        <v>340000</v>
      </c>
      <c r="I7" s="3">
        <v>5000</v>
      </c>
      <c r="J7" s="3">
        <f t="shared" si="0"/>
        <v>452030</v>
      </c>
    </row>
    <row r="8" spans="2:10" x14ac:dyDescent="0.5">
      <c r="B8" s="2" t="s">
        <v>17</v>
      </c>
      <c r="C8" s="2" t="s">
        <v>19</v>
      </c>
      <c r="D8" s="3">
        <v>54000</v>
      </c>
      <c r="E8" s="3">
        <v>560000</v>
      </c>
      <c r="F8" s="3">
        <v>34000</v>
      </c>
      <c r="G8" s="3">
        <v>77500</v>
      </c>
      <c r="H8" s="3">
        <v>540000</v>
      </c>
      <c r="I8" s="3">
        <v>340000</v>
      </c>
      <c r="J8" s="3">
        <f t="shared" si="0"/>
        <v>1605500</v>
      </c>
    </row>
    <row r="10" spans="2:10" x14ac:dyDescent="0.5">
      <c r="B10" s="1" t="s">
        <v>11</v>
      </c>
      <c r="C10" s="2" t="s">
        <v>15</v>
      </c>
    </row>
    <row r="11" spans="2:10" x14ac:dyDescent="0.5">
      <c r="B11" s="1" t="s">
        <v>0</v>
      </c>
      <c r="C11" s="3" t="str" cm="1">
        <f t="array" ref="C11:C18">TRANSPOSE(_xlfn.XLOOKUP(C10,B3:B8,C3:J8))</f>
        <v>Speaker</v>
      </c>
    </row>
    <row r="12" spans="2:10" x14ac:dyDescent="0.5">
      <c r="B12" s="1" t="s">
        <v>1</v>
      </c>
      <c r="C12" s="3">
        <v>43000</v>
      </c>
    </row>
    <row r="13" spans="2:10" x14ac:dyDescent="0.5">
      <c r="B13" s="1" t="s">
        <v>2</v>
      </c>
      <c r="C13" s="3">
        <v>76000</v>
      </c>
    </row>
    <row r="14" spans="2:10" x14ac:dyDescent="0.5">
      <c r="B14" s="1" t="s">
        <v>3</v>
      </c>
      <c r="C14" s="3">
        <v>450000</v>
      </c>
    </row>
    <row r="15" spans="2:10" x14ac:dyDescent="0.5">
      <c r="B15" s="1" t="s">
        <v>4</v>
      </c>
      <c r="C15" s="3">
        <v>3400</v>
      </c>
    </row>
    <row r="16" spans="2:10" x14ac:dyDescent="0.5">
      <c r="B16" s="1" t="s">
        <v>5</v>
      </c>
      <c r="C16" s="3">
        <v>5500</v>
      </c>
    </row>
    <row r="17" spans="2:3" x14ac:dyDescent="0.5">
      <c r="B17" s="1" t="s">
        <v>6</v>
      </c>
      <c r="C17" s="3">
        <v>5400</v>
      </c>
    </row>
    <row r="18" spans="2:3" x14ac:dyDescent="0.5">
      <c r="B18" s="1" t="s">
        <v>20</v>
      </c>
      <c r="C18" s="3">
        <v>583300</v>
      </c>
    </row>
  </sheetData>
  <dataValidations count="1">
    <dataValidation type="list" allowBlank="1" showInputMessage="1" showErrorMessage="1" sqref="C10" xr:uid="{BD1BED25-FE3A-450D-801F-9DCA522DFFF9}">
      <formula1>$B$3:$B$8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44F1A-2248-4DF1-A061-21E86202B756}">
  <dimension ref="B2:H13"/>
  <sheetViews>
    <sheetView zoomScale="115" zoomScaleNormal="115" workbookViewId="0">
      <selection activeCell="B12" sqref="B12"/>
    </sheetView>
  </sheetViews>
  <sheetFormatPr defaultRowHeight="18.45" x14ac:dyDescent="0.5"/>
  <cols>
    <col min="1" max="1" width="6.64453125" customWidth="1"/>
    <col min="2" max="2" width="10.234375" customWidth="1"/>
    <col min="3" max="8" width="7.76171875" customWidth="1"/>
  </cols>
  <sheetData>
    <row r="2" spans="2:8" x14ac:dyDescent="0.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x14ac:dyDescent="0.5">
      <c r="B3" s="2" t="s">
        <v>7</v>
      </c>
      <c r="C3" s="3">
        <v>1200</v>
      </c>
      <c r="D3" s="3">
        <v>4500</v>
      </c>
      <c r="E3" s="3">
        <v>760040</v>
      </c>
      <c r="F3" s="3">
        <v>980000</v>
      </c>
      <c r="G3" s="3">
        <v>2300</v>
      </c>
      <c r="H3" s="3">
        <v>210500</v>
      </c>
    </row>
    <row r="4" spans="2:8" x14ac:dyDescent="0.5">
      <c r="B4" s="2" t="s">
        <v>8</v>
      </c>
      <c r="C4" s="3">
        <v>4300</v>
      </c>
      <c r="D4" s="3">
        <v>4000</v>
      </c>
      <c r="E4" s="3">
        <v>66000</v>
      </c>
      <c r="F4" s="3">
        <v>670000</v>
      </c>
      <c r="G4" s="3">
        <v>439800</v>
      </c>
      <c r="H4" s="3">
        <v>43900</v>
      </c>
    </row>
    <row r="5" spans="2:8" x14ac:dyDescent="0.5">
      <c r="B5" s="2" t="s">
        <v>9</v>
      </c>
      <c r="C5" s="3">
        <v>10000</v>
      </c>
      <c r="D5" s="3">
        <v>56000</v>
      </c>
      <c r="E5" s="3">
        <v>65000</v>
      </c>
      <c r="F5" s="3">
        <v>870000</v>
      </c>
      <c r="G5" s="3">
        <v>540790</v>
      </c>
      <c r="H5" s="3">
        <v>450000</v>
      </c>
    </row>
    <row r="6" spans="2:8" x14ac:dyDescent="0.5">
      <c r="B6" s="2" t="s">
        <v>10</v>
      </c>
      <c r="C6" s="3">
        <v>43000</v>
      </c>
      <c r="D6" s="3">
        <v>76000</v>
      </c>
      <c r="E6" s="3">
        <v>450000</v>
      </c>
      <c r="F6" s="3">
        <v>3400</v>
      </c>
      <c r="G6" s="3">
        <v>5500</v>
      </c>
      <c r="H6" s="3">
        <v>5400</v>
      </c>
    </row>
    <row r="7" spans="2:8" x14ac:dyDescent="0.5">
      <c r="B7" s="2" t="s">
        <v>18</v>
      </c>
      <c r="C7" s="3">
        <v>2300</v>
      </c>
      <c r="D7" s="3">
        <v>5500</v>
      </c>
      <c r="E7" s="3">
        <v>54000</v>
      </c>
      <c r="F7" s="3">
        <v>45230</v>
      </c>
      <c r="G7" s="3">
        <v>340000</v>
      </c>
      <c r="H7" s="3">
        <v>5000</v>
      </c>
    </row>
    <row r="8" spans="2:8" x14ac:dyDescent="0.5">
      <c r="B8" s="2" t="s">
        <v>19</v>
      </c>
      <c r="C8" s="3">
        <v>54000</v>
      </c>
      <c r="D8" s="3">
        <v>560000</v>
      </c>
      <c r="E8" s="3">
        <v>34000</v>
      </c>
      <c r="F8" s="3">
        <v>77500</v>
      </c>
      <c r="G8" s="3">
        <v>540000</v>
      </c>
      <c r="H8" s="3">
        <v>340000</v>
      </c>
    </row>
    <row r="11" spans="2:8" x14ac:dyDescent="0.5">
      <c r="B11" s="1" t="s">
        <v>0</v>
      </c>
      <c r="C11" s="1" t="s">
        <v>21</v>
      </c>
      <c r="D11" s="5" t="s">
        <v>23</v>
      </c>
    </row>
    <row r="12" spans="2:8" x14ac:dyDescent="0.5">
      <c r="B12" s="3" t="s">
        <v>18</v>
      </c>
      <c r="C12" s="3" t="s">
        <v>1</v>
      </c>
      <c r="D12" s="3" cm="1">
        <f t="array" ref="D12">_xlfn.XLOOKUP(C12,C2:H2,_xlfn.XLOOKUP(B12,B3:B8,C3:H8))</f>
        <v>2300</v>
      </c>
    </row>
    <row r="13" spans="2:8" x14ac:dyDescent="0.5">
      <c r="F13" s="6"/>
    </row>
  </sheetData>
  <dataValidations count="2">
    <dataValidation type="list" allowBlank="1" showInputMessage="1" showErrorMessage="1" sqref="B12" xr:uid="{7575E87C-822C-4FE2-B40E-3CF5016C7CD6}">
      <formula1>$B$3:$B$8</formula1>
    </dataValidation>
    <dataValidation type="list" allowBlank="1" showInputMessage="1" showErrorMessage="1" sqref="C12" xr:uid="{42E682E7-0F01-45D3-9FEC-9C3B44107A11}">
      <formula1>$C$2:$H$2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FCFC0-8B6B-4211-90BA-A09452391BE0}">
  <dimension ref="B2:I12"/>
  <sheetViews>
    <sheetView zoomScale="115" zoomScaleNormal="115" workbookViewId="0">
      <selection activeCell="B12" sqref="B12"/>
    </sheetView>
  </sheetViews>
  <sheetFormatPr defaultRowHeight="18.45" x14ac:dyDescent="0.5"/>
  <cols>
    <col min="1" max="1" width="6.64453125" customWidth="1"/>
    <col min="2" max="2" width="10.234375" customWidth="1"/>
    <col min="3" max="3" width="8.87890625" customWidth="1"/>
    <col min="4" max="8" width="7.41015625" customWidth="1"/>
  </cols>
  <sheetData>
    <row r="2" spans="2:9" x14ac:dyDescent="0.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9" x14ac:dyDescent="0.5">
      <c r="B3" s="2" t="s">
        <v>7</v>
      </c>
      <c r="C3" s="3">
        <v>1200</v>
      </c>
      <c r="D3" s="3">
        <v>4500</v>
      </c>
      <c r="E3" s="3">
        <v>760040</v>
      </c>
      <c r="F3" s="3">
        <v>980000</v>
      </c>
      <c r="G3" s="3">
        <v>2300</v>
      </c>
      <c r="H3" s="3">
        <v>210500</v>
      </c>
      <c r="I3">
        <f>SUM(C3:H3)</f>
        <v>1958540</v>
      </c>
    </row>
    <row r="4" spans="2:9" x14ac:dyDescent="0.5">
      <c r="B4" s="2" t="s">
        <v>8</v>
      </c>
      <c r="C4" s="3">
        <v>4300</v>
      </c>
      <c r="D4" s="3">
        <v>4000</v>
      </c>
      <c r="E4" s="3">
        <v>66000</v>
      </c>
      <c r="F4" s="3">
        <v>670000</v>
      </c>
      <c r="G4" s="3">
        <v>439800</v>
      </c>
      <c r="H4" s="3">
        <v>43900</v>
      </c>
      <c r="I4">
        <f t="shared" ref="I4:I8" si="0">SUM(C4:H4)</f>
        <v>1228000</v>
      </c>
    </row>
    <row r="5" spans="2:9" x14ac:dyDescent="0.5">
      <c r="B5" s="2" t="s">
        <v>9</v>
      </c>
      <c r="C5" s="3">
        <v>10000</v>
      </c>
      <c r="D5" s="3">
        <v>56000</v>
      </c>
      <c r="E5" s="3">
        <v>65000</v>
      </c>
      <c r="F5" s="3">
        <v>870000</v>
      </c>
      <c r="G5" s="3">
        <v>540790</v>
      </c>
      <c r="H5" s="3">
        <v>450000</v>
      </c>
      <c r="I5">
        <f t="shared" si="0"/>
        <v>1991790</v>
      </c>
    </row>
    <row r="6" spans="2:9" x14ac:dyDescent="0.5">
      <c r="B6" s="2" t="s">
        <v>10</v>
      </c>
      <c r="C6" s="3">
        <v>43000</v>
      </c>
      <c r="D6" s="3">
        <v>76000</v>
      </c>
      <c r="E6" s="3">
        <v>450000</v>
      </c>
      <c r="F6" s="3">
        <v>3400</v>
      </c>
      <c r="G6" s="3">
        <v>5500</v>
      </c>
      <c r="H6" s="3">
        <v>5400</v>
      </c>
      <c r="I6">
        <f t="shared" si="0"/>
        <v>583300</v>
      </c>
    </row>
    <row r="7" spans="2:9" x14ac:dyDescent="0.5">
      <c r="B7" s="2" t="s">
        <v>18</v>
      </c>
      <c r="C7" s="3">
        <v>2300</v>
      </c>
      <c r="D7" s="3">
        <v>5500</v>
      </c>
      <c r="E7" s="3">
        <v>54000</v>
      </c>
      <c r="F7" s="3">
        <v>45230</v>
      </c>
      <c r="G7" s="3">
        <v>340000</v>
      </c>
      <c r="H7" s="3">
        <v>5000</v>
      </c>
      <c r="I7">
        <f t="shared" si="0"/>
        <v>452030</v>
      </c>
    </row>
    <row r="8" spans="2:9" x14ac:dyDescent="0.5">
      <c r="B8" s="2" t="s">
        <v>19</v>
      </c>
      <c r="C8" s="3">
        <v>54000</v>
      </c>
      <c r="D8" s="3">
        <v>560000</v>
      </c>
      <c r="E8" s="3">
        <v>34000</v>
      </c>
      <c r="F8" s="3">
        <v>77500</v>
      </c>
      <c r="G8" s="3">
        <v>540000</v>
      </c>
      <c r="H8" s="3">
        <v>340000</v>
      </c>
      <c r="I8">
        <f t="shared" si="0"/>
        <v>1605500</v>
      </c>
    </row>
    <row r="11" spans="2:9" x14ac:dyDescent="0.5">
      <c r="B11" s="1" t="s">
        <v>0</v>
      </c>
      <c r="C11" s="1" t="s">
        <v>20</v>
      </c>
    </row>
    <row r="12" spans="2:9" x14ac:dyDescent="0.5">
      <c r="B12" s="2" t="s">
        <v>10</v>
      </c>
      <c r="C12">
        <f>SUM(_xlfn.XLOOKUP(B12,B3:B8,C3:H8))</f>
        <v>583300</v>
      </c>
    </row>
  </sheetData>
  <dataValidations count="1">
    <dataValidation type="list" allowBlank="1" showInputMessage="1" showErrorMessage="1" sqref="B12" xr:uid="{2DEA8FE5-F372-4E5C-BF2A-1384027CEDEB}">
      <formula1>$B$3:$B$8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D4E2-81FE-43EB-842D-F046CFD39A50}">
  <dimension ref="B2:I19"/>
  <sheetViews>
    <sheetView zoomScale="115" zoomScaleNormal="115" workbookViewId="0">
      <selection activeCell="C12" sqref="C12"/>
    </sheetView>
  </sheetViews>
  <sheetFormatPr defaultRowHeight="18.45" x14ac:dyDescent="0.5"/>
  <cols>
    <col min="1" max="1" width="6.64453125" customWidth="1"/>
    <col min="2" max="2" width="10.234375" customWidth="1"/>
    <col min="3" max="8" width="9.234375" customWidth="1"/>
  </cols>
  <sheetData>
    <row r="2" spans="2:9" x14ac:dyDescent="0.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22</v>
      </c>
    </row>
    <row r="3" spans="2:9" x14ac:dyDescent="0.5">
      <c r="B3" s="2" t="s">
        <v>7</v>
      </c>
      <c r="C3" s="3">
        <v>1200</v>
      </c>
      <c r="D3" s="3">
        <v>4500</v>
      </c>
      <c r="E3" s="3">
        <v>760040</v>
      </c>
      <c r="F3" s="3">
        <v>980000</v>
      </c>
      <c r="G3" s="3">
        <v>2300</v>
      </c>
      <c r="H3" s="3">
        <v>210500</v>
      </c>
      <c r="I3" s="3">
        <f>SUM(C3:H3)</f>
        <v>1958540</v>
      </c>
    </row>
    <row r="4" spans="2:9" x14ac:dyDescent="0.5">
      <c r="B4" s="2" t="s">
        <v>8</v>
      </c>
      <c r="C4" s="3">
        <v>4300</v>
      </c>
      <c r="D4" s="3">
        <v>4000</v>
      </c>
      <c r="E4" s="3">
        <v>66000</v>
      </c>
      <c r="F4" s="3">
        <v>670000</v>
      </c>
      <c r="G4" s="3">
        <v>439800</v>
      </c>
      <c r="H4" s="3">
        <v>43900</v>
      </c>
      <c r="I4" s="3">
        <f t="shared" ref="I4:I8" si="0">SUM(C4:H4)</f>
        <v>1228000</v>
      </c>
    </row>
    <row r="5" spans="2:9" x14ac:dyDescent="0.5">
      <c r="B5" s="2" t="s">
        <v>9</v>
      </c>
      <c r="C5" s="3">
        <v>10000</v>
      </c>
      <c r="D5" s="3">
        <v>56000</v>
      </c>
      <c r="E5" s="3">
        <v>65000</v>
      </c>
      <c r="F5" s="3">
        <v>870000</v>
      </c>
      <c r="G5" s="3">
        <v>540790</v>
      </c>
      <c r="H5" s="3">
        <v>450000</v>
      </c>
      <c r="I5" s="3">
        <f t="shared" si="0"/>
        <v>1991790</v>
      </c>
    </row>
    <row r="6" spans="2:9" x14ac:dyDescent="0.5">
      <c r="B6" s="2" t="s">
        <v>10</v>
      </c>
      <c r="C6" s="3">
        <v>43000</v>
      </c>
      <c r="D6" s="3">
        <v>76000</v>
      </c>
      <c r="E6" s="3">
        <v>450000</v>
      </c>
      <c r="F6" s="3">
        <v>3400</v>
      </c>
      <c r="G6" s="3">
        <v>5500</v>
      </c>
      <c r="H6" s="3">
        <v>5400</v>
      </c>
      <c r="I6" s="3">
        <f t="shared" si="0"/>
        <v>583300</v>
      </c>
    </row>
    <row r="7" spans="2:9" x14ac:dyDescent="0.5">
      <c r="B7" s="2" t="s">
        <v>18</v>
      </c>
      <c r="C7" s="3">
        <v>2300</v>
      </c>
      <c r="D7" s="3">
        <v>5500</v>
      </c>
      <c r="E7" s="3">
        <v>54000</v>
      </c>
      <c r="F7" s="3">
        <v>45230</v>
      </c>
      <c r="G7" s="3">
        <v>340000</v>
      </c>
      <c r="H7" s="3">
        <v>5000</v>
      </c>
      <c r="I7" s="3">
        <f t="shared" si="0"/>
        <v>452030</v>
      </c>
    </row>
    <row r="8" spans="2:9" x14ac:dyDescent="0.5">
      <c r="B8" s="2" t="s">
        <v>19</v>
      </c>
      <c r="C8" s="3">
        <v>54000</v>
      </c>
      <c r="D8" s="3">
        <v>560000</v>
      </c>
      <c r="E8" s="3">
        <v>34000</v>
      </c>
      <c r="F8" s="3">
        <v>77500</v>
      </c>
      <c r="G8" s="3">
        <v>540000</v>
      </c>
      <c r="H8" s="3">
        <v>340000</v>
      </c>
      <c r="I8" s="3">
        <f t="shared" si="0"/>
        <v>1605500</v>
      </c>
    </row>
    <row r="9" spans="2:9" x14ac:dyDescent="0.5">
      <c r="B9" s="4" t="s">
        <v>22</v>
      </c>
      <c r="C9" s="1">
        <f>SUM(C3:C8)</f>
        <v>114800</v>
      </c>
      <c r="D9" s="1">
        <f t="shared" ref="D9:I9" si="1">SUM(D3:D8)</f>
        <v>706000</v>
      </c>
      <c r="E9" s="1">
        <f t="shared" si="1"/>
        <v>1429040</v>
      </c>
      <c r="F9" s="1">
        <f t="shared" si="1"/>
        <v>2646130</v>
      </c>
      <c r="G9" s="1">
        <f t="shared" si="1"/>
        <v>1868390</v>
      </c>
      <c r="H9" s="1">
        <f t="shared" si="1"/>
        <v>1054800</v>
      </c>
      <c r="I9" s="1">
        <f t="shared" si="1"/>
        <v>7819160</v>
      </c>
    </row>
    <row r="11" spans="2:9" x14ac:dyDescent="0.5">
      <c r="B11" s="1" t="s">
        <v>0</v>
      </c>
      <c r="C11" s="1" t="s">
        <v>22</v>
      </c>
    </row>
    <row r="12" spans="2:9" x14ac:dyDescent="0.5">
      <c r="B12" s="2" t="s">
        <v>7</v>
      </c>
      <c r="C12" s="3" cm="1">
        <f t="array" ref="C12:C14">_xlfn.XLOOKUP(B12:B14,B3:B8,I3:I8)</f>
        <v>1958540</v>
      </c>
    </row>
    <row r="13" spans="2:9" x14ac:dyDescent="0.5">
      <c r="B13" s="2" t="s">
        <v>9</v>
      </c>
      <c r="C13" s="3">
        <v>1991790</v>
      </c>
    </row>
    <row r="14" spans="2:9" x14ac:dyDescent="0.5">
      <c r="B14" s="2" t="s">
        <v>18</v>
      </c>
      <c r="C14" s="3">
        <v>452030</v>
      </c>
    </row>
    <row r="16" spans="2:9" x14ac:dyDescent="0.5">
      <c r="B16" s="1" t="s">
        <v>21</v>
      </c>
      <c r="C16" s="1" t="s">
        <v>22</v>
      </c>
    </row>
    <row r="17" spans="2:3" x14ac:dyDescent="0.5">
      <c r="B17" s="3" t="s">
        <v>2</v>
      </c>
      <c r="C17" s="3" cm="1">
        <f t="array" ref="C17:C19">_xlfn.XLOOKUP(B17:B19,C2:H2,C9:H9)</f>
        <v>706000</v>
      </c>
    </row>
    <row r="18" spans="2:3" x14ac:dyDescent="0.5">
      <c r="B18" s="3" t="s">
        <v>6</v>
      </c>
      <c r="C18" s="3">
        <v>1054800</v>
      </c>
    </row>
    <row r="19" spans="2:3" x14ac:dyDescent="0.5">
      <c r="B19" s="3" t="s">
        <v>3</v>
      </c>
      <c r="C19" s="3">
        <v>1429040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948A-C504-41BB-BEA1-2D2383AFE323}">
  <dimension ref="B2:I12"/>
  <sheetViews>
    <sheetView zoomScale="115" zoomScaleNormal="115" workbookViewId="0">
      <selection activeCell="B12" sqref="B12"/>
    </sheetView>
  </sheetViews>
  <sheetFormatPr defaultRowHeight="18.45" x14ac:dyDescent="0.5"/>
  <cols>
    <col min="1" max="1" width="6.64453125" customWidth="1"/>
    <col min="2" max="2" width="10.234375" customWidth="1"/>
    <col min="3" max="8" width="9.234375" customWidth="1"/>
  </cols>
  <sheetData>
    <row r="2" spans="2:9" x14ac:dyDescent="0.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22</v>
      </c>
    </row>
    <row r="3" spans="2:9" x14ac:dyDescent="0.5">
      <c r="B3" s="2" t="s">
        <v>7</v>
      </c>
      <c r="C3" s="3">
        <v>1200</v>
      </c>
      <c r="D3" s="3">
        <v>4500</v>
      </c>
      <c r="E3" s="3">
        <v>760040</v>
      </c>
      <c r="F3" s="3">
        <v>980000</v>
      </c>
      <c r="G3" s="3">
        <v>2300</v>
      </c>
      <c r="H3" s="3">
        <v>210500</v>
      </c>
      <c r="I3" s="3">
        <f>SUM(C3:H3)</f>
        <v>1958540</v>
      </c>
    </row>
    <row r="4" spans="2:9" x14ac:dyDescent="0.5">
      <c r="B4" s="2" t="s">
        <v>8</v>
      </c>
      <c r="C4" s="3">
        <v>4300</v>
      </c>
      <c r="D4" s="3">
        <v>4000</v>
      </c>
      <c r="E4" s="3">
        <v>66000</v>
      </c>
      <c r="F4" s="3">
        <v>670000</v>
      </c>
      <c r="G4" s="3">
        <v>439800</v>
      </c>
      <c r="H4" s="3">
        <v>43900</v>
      </c>
      <c r="I4" s="3">
        <f t="shared" ref="I4:I8" si="0">SUM(C4:H4)</f>
        <v>1228000</v>
      </c>
    </row>
    <row r="5" spans="2:9" x14ac:dyDescent="0.5">
      <c r="B5" s="2" t="s">
        <v>9</v>
      </c>
      <c r="C5" s="3">
        <v>10000</v>
      </c>
      <c r="D5" s="3">
        <v>56000</v>
      </c>
      <c r="E5" s="3">
        <v>65000</v>
      </c>
      <c r="F5" s="3">
        <v>870000</v>
      </c>
      <c r="G5" s="3">
        <v>540790</v>
      </c>
      <c r="H5" s="3">
        <v>450000</v>
      </c>
      <c r="I5" s="3">
        <f t="shared" si="0"/>
        <v>1991790</v>
      </c>
    </row>
    <row r="6" spans="2:9" x14ac:dyDescent="0.5">
      <c r="B6" s="2" t="s">
        <v>10</v>
      </c>
      <c r="C6" s="3">
        <v>43000</v>
      </c>
      <c r="D6" s="3">
        <v>76000</v>
      </c>
      <c r="E6" s="3">
        <v>450000</v>
      </c>
      <c r="F6" s="3">
        <v>3400</v>
      </c>
      <c r="G6" s="3">
        <v>5500</v>
      </c>
      <c r="H6" s="3">
        <v>5400</v>
      </c>
      <c r="I6" s="3">
        <f t="shared" si="0"/>
        <v>583300</v>
      </c>
    </row>
    <row r="7" spans="2:9" x14ac:dyDescent="0.5">
      <c r="B7" s="2" t="s">
        <v>18</v>
      </c>
      <c r="C7" s="3">
        <v>2300</v>
      </c>
      <c r="D7" s="3">
        <v>5500</v>
      </c>
      <c r="E7" s="3">
        <v>54000</v>
      </c>
      <c r="F7" s="3">
        <v>45230</v>
      </c>
      <c r="G7" s="3">
        <v>340000</v>
      </c>
      <c r="H7" s="3">
        <v>5000</v>
      </c>
      <c r="I7" s="3">
        <f t="shared" si="0"/>
        <v>452030</v>
      </c>
    </row>
    <row r="8" spans="2:9" x14ac:dyDescent="0.5">
      <c r="B8" s="2" t="s">
        <v>19</v>
      </c>
      <c r="C8" s="3">
        <v>54000</v>
      </c>
      <c r="D8" s="3">
        <v>560000</v>
      </c>
      <c r="E8" s="3">
        <v>34000</v>
      </c>
      <c r="F8" s="3">
        <v>77500</v>
      </c>
      <c r="G8" s="3">
        <v>540000</v>
      </c>
      <c r="H8" s="3">
        <v>340000</v>
      </c>
      <c r="I8" s="3">
        <f t="shared" si="0"/>
        <v>1605500</v>
      </c>
    </row>
    <row r="11" spans="2:9" x14ac:dyDescent="0.5">
      <c r="B11" s="1" t="s">
        <v>0</v>
      </c>
      <c r="C11" s="1" t="s">
        <v>4</v>
      </c>
      <c r="D11" s="1" t="s">
        <v>2</v>
      </c>
      <c r="E11" s="1" t="s">
        <v>6</v>
      </c>
    </row>
    <row r="12" spans="2:9" x14ac:dyDescent="0.5">
      <c r="B12" s="2" t="s">
        <v>10</v>
      </c>
      <c r="C12" cm="1">
        <f t="array" ref="C12:E12">_xlfn.XLOOKUP(C11:E11,C2:I2,_xlfn.XLOOKUP(B12,B3:B8,C3:I8))</f>
        <v>3400</v>
      </c>
      <c r="D12">
        <v>76000</v>
      </c>
      <c r="E12">
        <v>5400</v>
      </c>
    </row>
  </sheetData>
  <dataValidations count="1">
    <dataValidation type="list" allowBlank="1" showInputMessage="1" showErrorMessage="1" sqref="B12" xr:uid="{490C10CB-316E-4BDD-8436-7CCA45DDC8B8}">
      <formula1>$B$3:$B$8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FA53-7E27-44D6-BC27-89E665D67433}">
  <dimension ref="B2:L8"/>
  <sheetViews>
    <sheetView zoomScale="115" zoomScaleNormal="115" workbookViewId="0">
      <selection activeCell="E12" sqref="E12"/>
    </sheetView>
  </sheetViews>
  <sheetFormatPr defaultRowHeight="18.45" x14ac:dyDescent="0.5"/>
  <cols>
    <col min="1" max="1" width="6.64453125" customWidth="1"/>
    <col min="2" max="4" width="9.87890625" customWidth="1"/>
    <col min="5" max="5" width="10.1171875" customWidth="1"/>
    <col min="8" max="8" width="9.87890625" customWidth="1"/>
  </cols>
  <sheetData>
    <row r="2" spans="2:12" x14ac:dyDescent="0.5">
      <c r="B2" s="1" t="s">
        <v>11</v>
      </c>
      <c r="C2" s="1"/>
      <c r="D2" s="1"/>
      <c r="E2" s="1" t="s">
        <v>0</v>
      </c>
      <c r="F2" s="1" t="s">
        <v>24</v>
      </c>
      <c r="H2" s="7" t="s">
        <v>25</v>
      </c>
      <c r="I2" s="7"/>
      <c r="K2" s="7" t="s">
        <v>26</v>
      </c>
      <c r="L2" s="7"/>
    </row>
    <row r="3" spans="2:12" x14ac:dyDescent="0.5">
      <c r="B3" s="2" t="s">
        <v>12</v>
      </c>
      <c r="C3" s="2"/>
      <c r="D3" s="2"/>
      <c r="E3" s="2" t="s">
        <v>7</v>
      </c>
      <c r="F3" s="3">
        <v>1200</v>
      </c>
    </row>
    <row r="4" spans="2:12" x14ac:dyDescent="0.5">
      <c r="B4" s="2" t="s">
        <v>13</v>
      </c>
      <c r="C4" s="2"/>
      <c r="D4" s="2"/>
      <c r="E4" s="2" t="s">
        <v>8</v>
      </c>
      <c r="F4" s="3">
        <v>4300</v>
      </c>
      <c r="H4" s="1" t="s">
        <v>11</v>
      </c>
      <c r="I4" s="1" t="s">
        <v>24</v>
      </c>
      <c r="K4" s="1" t="s">
        <v>11</v>
      </c>
      <c r="L4" s="1" t="s">
        <v>24</v>
      </c>
    </row>
    <row r="5" spans="2:12" x14ac:dyDescent="0.5">
      <c r="B5" s="2" t="s">
        <v>14</v>
      </c>
      <c r="C5" s="2"/>
      <c r="D5" s="2"/>
      <c r="E5" s="2" t="s">
        <v>9</v>
      </c>
      <c r="F5" s="3">
        <v>350</v>
      </c>
      <c r="H5" s="2" t="s">
        <v>15</v>
      </c>
      <c r="I5" s="3">
        <f>VLOOKUP(H5,B2:F8,3,0)</f>
        <v>0</v>
      </c>
      <c r="K5" s="2" t="s">
        <v>15</v>
      </c>
      <c r="L5" s="3">
        <f>_xlfn.XLOOKUP(K5,B3:B8,F3:F8)</f>
        <v>200</v>
      </c>
    </row>
    <row r="6" spans="2:12" x14ac:dyDescent="0.5">
      <c r="B6" s="2" t="s">
        <v>15</v>
      </c>
      <c r="C6" s="2"/>
      <c r="D6" s="2"/>
      <c r="E6" s="2" t="s">
        <v>10</v>
      </c>
      <c r="F6" s="3">
        <v>200</v>
      </c>
    </row>
    <row r="7" spans="2:12" x14ac:dyDescent="0.5">
      <c r="B7" s="2" t="s">
        <v>16</v>
      </c>
      <c r="C7" s="2"/>
      <c r="D7" s="2"/>
      <c r="E7" s="2" t="s">
        <v>18</v>
      </c>
      <c r="F7" s="3">
        <v>150</v>
      </c>
    </row>
    <row r="8" spans="2:12" x14ac:dyDescent="0.5">
      <c r="B8" s="2" t="s">
        <v>17</v>
      </c>
      <c r="C8" s="2"/>
      <c r="D8" s="2"/>
      <c r="E8" s="2" t="s">
        <v>19</v>
      </c>
      <c r="F8" s="3">
        <v>100</v>
      </c>
    </row>
  </sheetData>
  <mergeCells count="2">
    <mergeCell ref="H2:I2"/>
    <mergeCell ref="K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4D15-4D5A-4A96-9492-3DAD1B2E0B98}">
  <dimension ref="B2:J13"/>
  <sheetViews>
    <sheetView zoomScale="115" zoomScaleNormal="115" workbookViewId="0">
      <selection activeCell="E13" sqref="E13"/>
    </sheetView>
  </sheetViews>
  <sheetFormatPr defaultRowHeight="18.45" x14ac:dyDescent="0.5"/>
  <cols>
    <col min="1" max="1" width="6.64453125" customWidth="1"/>
    <col min="2" max="2" width="9.87890625" customWidth="1"/>
    <col min="3" max="3" width="10.1171875" customWidth="1"/>
    <col min="6" max="6" width="9.87890625" customWidth="1"/>
  </cols>
  <sheetData>
    <row r="2" spans="2:10" x14ac:dyDescent="0.5">
      <c r="B2" s="1" t="s">
        <v>11</v>
      </c>
      <c r="C2" s="1" t="s">
        <v>0</v>
      </c>
      <c r="D2" s="1" t="s">
        <v>24</v>
      </c>
      <c r="F2" s="7" t="s">
        <v>25</v>
      </c>
      <c r="G2" s="7"/>
      <c r="I2" s="7" t="s">
        <v>26</v>
      </c>
      <c r="J2" s="7"/>
    </row>
    <row r="3" spans="2:10" x14ac:dyDescent="0.5">
      <c r="B3" s="2" t="s">
        <v>12</v>
      </c>
      <c r="C3" s="2" t="s">
        <v>7</v>
      </c>
      <c r="D3" s="3">
        <v>1200</v>
      </c>
    </row>
    <row r="4" spans="2:10" x14ac:dyDescent="0.5">
      <c r="B4" s="2" t="s">
        <v>13</v>
      </c>
      <c r="C4" s="2" t="s">
        <v>8</v>
      </c>
      <c r="D4" s="3">
        <v>4300</v>
      </c>
      <c r="F4" s="1" t="s">
        <v>11</v>
      </c>
      <c r="G4" s="1" t="s">
        <v>24</v>
      </c>
      <c r="I4" s="1" t="s">
        <v>11</v>
      </c>
      <c r="J4" s="1" t="s">
        <v>24</v>
      </c>
    </row>
    <row r="5" spans="2:10" x14ac:dyDescent="0.5">
      <c r="B5" s="2" t="s">
        <v>14</v>
      </c>
      <c r="C5" s="2" t="s">
        <v>9</v>
      </c>
      <c r="D5" s="3">
        <v>350</v>
      </c>
      <c r="F5" s="2" t="s">
        <v>15</v>
      </c>
      <c r="G5" s="3">
        <f>VLOOKUP(F5,B2:D8,3,0)</f>
        <v>200</v>
      </c>
      <c r="I5" s="2" t="s">
        <v>15</v>
      </c>
      <c r="J5" s="3">
        <f>_xlfn.XLOOKUP(I5,B3:B8,D3:D8)</f>
        <v>200</v>
      </c>
    </row>
    <row r="6" spans="2:10" x14ac:dyDescent="0.5">
      <c r="B6" s="2" t="s">
        <v>15</v>
      </c>
      <c r="C6" s="2" t="s">
        <v>10</v>
      </c>
      <c r="D6" s="3">
        <v>200</v>
      </c>
    </row>
    <row r="7" spans="2:10" x14ac:dyDescent="0.5">
      <c r="B7" s="2" t="s">
        <v>16</v>
      </c>
      <c r="C7" s="2" t="s">
        <v>18</v>
      </c>
      <c r="D7" s="3">
        <v>150</v>
      </c>
    </row>
    <row r="8" spans="2:10" x14ac:dyDescent="0.5">
      <c r="B8" s="2" t="s">
        <v>17</v>
      </c>
      <c r="C8" s="2" t="s">
        <v>19</v>
      </c>
      <c r="D8" s="3">
        <v>100</v>
      </c>
    </row>
    <row r="13" spans="2:10" x14ac:dyDescent="0.5">
      <c r="E13" t="s">
        <v>27</v>
      </c>
    </row>
  </sheetData>
  <mergeCells count="2">
    <mergeCell ref="I2:J2"/>
    <mergeCell ref="F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 (2)</vt:lpstr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nehra</dc:creator>
  <cp:lastModifiedBy>sumit bansal</cp:lastModifiedBy>
  <dcterms:created xsi:type="dcterms:W3CDTF">2024-03-19T13:00:22Z</dcterms:created>
  <dcterms:modified xsi:type="dcterms:W3CDTF">2025-05-03T12:25:01Z</dcterms:modified>
</cp:coreProperties>
</file>