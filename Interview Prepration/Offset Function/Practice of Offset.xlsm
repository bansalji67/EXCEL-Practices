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480" yWindow="315" windowWidth="19815" windowHeight="7395" activeTab="7"/>
  </bookViews>
  <sheets>
    <sheet name="Offset" sheetId="4" r:id="rId1"/>
    <sheet name="OFFSET-1" sheetId="1" r:id="rId2"/>
    <sheet name="Offset-2" sheetId="2" r:id="rId3"/>
    <sheet name="Offset-3" sheetId="3" r:id="rId4"/>
    <sheet name="Offset-4" sheetId="5" r:id="rId5"/>
    <sheet name="Offset-5" sheetId="6" r:id="rId6"/>
    <sheet name="Offset-6" sheetId="7" r:id="rId7"/>
    <sheet name="Sheet1" sheetId="8" r:id="rId8"/>
  </sheets>
  <externalReferences>
    <externalReference r:id="rId9"/>
  </externalReferences>
  <definedNames>
    <definedName name="Last_6_Month_Average">OFFSET('[1]Offset-5'!$A$2,0,COUNTA('[1]Offset-5'!$B$2:$M$2)-5,1,6)</definedName>
  </definedNames>
  <calcPr calcId="144525"/>
</workbook>
</file>

<file path=xl/calcChain.xml><?xml version="1.0" encoding="utf-8"?>
<calcChain xmlns="http://schemas.openxmlformats.org/spreadsheetml/2006/main">
  <c r="I12" i="8" l="1"/>
  <c r="I13" i="8"/>
  <c r="I14" i="8"/>
  <c r="I15" i="8"/>
  <c r="I16" i="8"/>
  <c r="I17" i="8"/>
  <c r="I18" i="8"/>
  <c r="I11" i="8"/>
  <c r="H12" i="8"/>
  <c r="H13" i="8"/>
  <c r="H14" i="8"/>
  <c r="H15" i="8"/>
  <c r="H16" i="8"/>
  <c r="H17" i="8"/>
  <c r="H18" i="8"/>
  <c r="H11" i="8"/>
  <c r="A8" i="8"/>
  <c r="A9" i="8" s="1"/>
  <c r="A7" i="8"/>
  <c r="A6" i="8"/>
  <c r="A5" i="8"/>
  <c r="A4" i="8"/>
  <c r="A3" i="8"/>
  <c r="H13" i="7" a="1"/>
  <c r="H13" i="7" s="1"/>
  <c r="H14" i="6"/>
  <c r="H13" i="6"/>
  <c r="I8" i="6"/>
  <c r="F12" i="7" a="1"/>
  <c r="F12" i="7" s="1"/>
  <c r="F13" i="7" a="1"/>
  <c r="F13" i="7" s="1"/>
  <c r="F11" i="7" a="1"/>
  <c r="F11" i="7" s="1"/>
  <c r="I8" i="7" a="1"/>
  <c r="I8" i="7" s="1"/>
  <c r="I9" i="7" a="1"/>
  <c r="I9" i="7" s="1"/>
  <c r="I7" i="7" a="1"/>
  <c r="I7" i="7" s="1"/>
  <c r="N2" i="6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C8" i="2"/>
  <c r="C9" i="2"/>
  <c r="C10" i="2"/>
  <c r="C11" i="2"/>
  <c r="C12" i="2"/>
  <c r="C13" i="2"/>
  <c r="C14" i="2"/>
  <c r="C15" i="2"/>
  <c r="C16" i="2"/>
  <c r="C17" i="2"/>
  <c r="C18" i="2"/>
  <c r="C19" i="2"/>
  <c r="C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7" i="2"/>
  <c r="K13" i="5"/>
  <c r="N4" i="5" a="1"/>
  <c r="N4" i="5" s="1"/>
  <c r="E2" i="3" a="1"/>
  <c r="E2" i="3" s="1"/>
  <c r="E3" i="3" s="1" a="1"/>
  <c r="E3" i="3" s="1"/>
  <c r="I5" i="1"/>
  <c r="B3" i="1"/>
  <c r="B4" i="1" s="1"/>
  <c r="B5" i="1" s="1"/>
  <c r="B6" i="1" s="1"/>
  <c r="P10" i="4"/>
  <c r="F10" i="1" l="1"/>
  <c r="Q7" i="5"/>
  <c r="Q5" i="5"/>
  <c r="Q6" i="5"/>
  <c r="Q4" i="5"/>
  <c r="O7" i="5"/>
  <c r="O6" i="5"/>
  <c r="O5" i="5"/>
  <c r="O4" i="5"/>
  <c r="P7" i="5"/>
  <c r="N7" i="5"/>
  <c r="P6" i="5"/>
  <c r="N6" i="5"/>
  <c r="P5" i="5"/>
  <c r="N5" i="5"/>
  <c r="P4" i="5"/>
  <c r="E4" i="3" a="1"/>
  <c r="E4" i="3" s="1"/>
  <c r="E5" i="3" l="1" a="1"/>
  <c r="E5" i="3" s="1"/>
  <c r="E6" i="3" s="1" a="1"/>
  <c r="E6" i="3" s="1"/>
  <c r="E7" i="3" l="1" a="1"/>
  <c r="E7" i="3" s="1"/>
  <c r="E8" i="3" s="1" a="1"/>
  <c r="E8" i="3" s="1"/>
  <c r="E9" i="3" l="1" a="1"/>
  <c r="E9" i="3" s="1"/>
  <c r="E10" i="3" l="1" a="1"/>
  <c r="E10" i="3" s="1"/>
  <c r="E11" i="3" s="1" a="1"/>
  <c r="E11" i="3" s="1"/>
  <c r="E12" i="3" s="1" a="1"/>
  <c r="E12" i="3" s="1"/>
  <c r="E13" i="3" s="1" a="1"/>
  <c r="E13" i="3" s="1"/>
</calcChain>
</file>

<file path=xl/sharedStrings.xml><?xml version="1.0" encoding="utf-8"?>
<sst xmlns="http://schemas.openxmlformats.org/spreadsheetml/2006/main" count="537" uniqueCount="103">
  <si>
    <t>OFFSET</t>
  </si>
  <si>
    <t>Ashok</t>
  </si>
  <si>
    <t>Deepak</t>
  </si>
  <si>
    <t>-1,0</t>
  </si>
  <si>
    <t>0,-1</t>
  </si>
  <si>
    <t>0,0</t>
  </si>
  <si>
    <t>0,1</t>
  </si>
  <si>
    <t>1,0</t>
  </si>
  <si>
    <t>Reference</t>
  </si>
  <si>
    <t>Row No.</t>
  </si>
  <si>
    <t>Manadatory</t>
  </si>
  <si>
    <t>Column No.</t>
  </si>
  <si>
    <t>Height</t>
  </si>
  <si>
    <t>Width</t>
  </si>
  <si>
    <t xml:space="preserve">Optional </t>
  </si>
  <si>
    <t>Vertical Data</t>
  </si>
  <si>
    <t>Horizontal Data</t>
  </si>
  <si>
    <t>Name</t>
  </si>
  <si>
    <t>Emp Id</t>
  </si>
  <si>
    <t>Raj</t>
  </si>
  <si>
    <t>Sudhir</t>
  </si>
  <si>
    <t>pankaj</t>
  </si>
  <si>
    <t>Kamal</t>
  </si>
  <si>
    <t>Punit</t>
  </si>
  <si>
    <t>Emp ID</t>
  </si>
  <si>
    <t>code</t>
  </si>
  <si>
    <t>a</t>
  </si>
  <si>
    <t>g</t>
  </si>
  <si>
    <t>d</t>
  </si>
  <si>
    <t>e</t>
  </si>
  <si>
    <t>q</t>
  </si>
  <si>
    <t>Code</t>
  </si>
  <si>
    <t xml:space="preserve">JITENDRA SINGH           </t>
  </si>
  <si>
    <t xml:space="preserve">ABHIJIT DAS              </t>
  </si>
  <si>
    <t xml:space="preserve">ROSHAN KR. SINGH         </t>
  </si>
  <si>
    <t xml:space="preserve">GOVIND KR. MISHRA        </t>
  </si>
  <si>
    <t xml:space="preserve">NAIYER IQUBAL            </t>
  </si>
  <si>
    <t xml:space="preserve">SUSANTA SAHOO            </t>
  </si>
  <si>
    <t xml:space="preserve">DHARMENDRA KUMAR         </t>
  </si>
  <si>
    <t xml:space="preserve">SRIKANTA SAMAL           </t>
  </si>
  <si>
    <t xml:space="preserve">BHAGAT SINGH DHANKA      </t>
  </si>
  <si>
    <t xml:space="preserve">PRAVEEN KUMAR            </t>
  </si>
  <si>
    <t xml:space="preserve">JULIA NINGTHOUJAN        </t>
  </si>
  <si>
    <t xml:space="preserve">CHANDRABHANU ROUT        </t>
  </si>
  <si>
    <t xml:space="preserve">RADHEY SHYAM YADAV       </t>
  </si>
  <si>
    <t xml:space="preserve">SONAM KAPOOR             </t>
  </si>
  <si>
    <t xml:space="preserve">VIJAY KUMAR              </t>
  </si>
  <si>
    <t xml:space="preserve">VIKRAM SINGH             </t>
  </si>
  <si>
    <t xml:space="preserve">GIRIRAJ DUTTA            </t>
  </si>
  <si>
    <t xml:space="preserve">NEERAJ KUMAR TOMER       </t>
  </si>
  <si>
    <t xml:space="preserve">SURENDER PRATAP VERMA    </t>
  </si>
  <si>
    <t>Reverse Order</t>
  </si>
  <si>
    <t>State</t>
  </si>
  <si>
    <t>NT</t>
  </si>
  <si>
    <t>VIC</t>
  </si>
  <si>
    <t>NSW</t>
  </si>
  <si>
    <t>TAS</t>
  </si>
  <si>
    <t>QLD</t>
  </si>
  <si>
    <t>SA</t>
  </si>
  <si>
    <t>WA</t>
  </si>
  <si>
    <t>OCL</t>
  </si>
  <si>
    <t>Unique Data</t>
  </si>
  <si>
    <t xml:space="preserve"> </t>
  </si>
  <si>
    <t>Pak</t>
  </si>
  <si>
    <t>Aus</t>
  </si>
  <si>
    <t>Eng</t>
  </si>
  <si>
    <t>Sachin</t>
  </si>
  <si>
    <t>Dravid</t>
  </si>
  <si>
    <t>Ganguly</t>
  </si>
  <si>
    <t>Dhoni</t>
  </si>
  <si>
    <t>Player Name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</si>
  <si>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</si>
  <si>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</si>
  <si>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</si>
  <si>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</si>
  <si>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</si>
  <si>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</si>
  <si>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</si>
  <si>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</si>
  <si>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</si>
  <si>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</si>
  <si>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</si>
  <si>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</si>
  <si>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</si>
  <si>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Rajiv</t>
  </si>
  <si>
    <t>Average</t>
  </si>
  <si>
    <t>Fruit name</t>
  </si>
  <si>
    <t>Price</t>
  </si>
  <si>
    <t>Mango</t>
  </si>
  <si>
    <t>Apple</t>
  </si>
  <si>
    <t>Banana</t>
  </si>
  <si>
    <t>Latest Price</t>
  </si>
  <si>
    <t>Fruit Name</t>
  </si>
  <si>
    <t>Emp Name</t>
  </si>
  <si>
    <t>Emp Salary</t>
  </si>
  <si>
    <t>Netrapal</t>
  </si>
  <si>
    <t>Rahul</t>
  </si>
  <si>
    <t>Sushma G</t>
  </si>
  <si>
    <t>Vikash</t>
  </si>
  <si>
    <t>Harish</t>
  </si>
  <si>
    <t>Manoj</t>
  </si>
  <si>
    <t>Tarun</t>
  </si>
  <si>
    <t>Abhishek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</si>
</sst>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theme="0"/>
      <name val="Calibri"/>
      <family val="2"/>
      <scheme val="minor"/>
    </font>
    <font>
      <b/>
      <sz val="22"/>
      <color theme="3"/>
      <name val="Cambria"/>
      <family val="2"/>
      <scheme val="major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</cellStyleXfs>
  <cellXfs count="35">
    <xf numFmtId="0" fontId="0" fillId="0" borderId="0" xfId="0"/>
    <xf numFmtId="0" fontId="0" fillId="3" borderId="0" xfId="0" applyFill="1"/>
    <xf numFmtId="0" fontId="0" fillId="0" borderId="0" xfId="0" quotePrefix="1"/>
    <xf numFmtId="0" fontId="2" fillId="2" borderId="0" xfId="2"/>
    <xf numFmtId="0" fontId="4" fillId="4" borderId="9" xfId="0" applyFont="1" applyFill="1" applyBorder="1"/>
    <xf numFmtId="0" fontId="4" fillId="5" borderId="9" xfId="0" applyFont="1" applyFill="1" applyBorder="1"/>
    <xf numFmtId="0" fontId="5" fillId="6" borderId="10" xfId="0" applyFont="1" applyFill="1" applyBorder="1"/>
    <xf numFmtId="0" fontId="6" fillId="4" borderId="11" xfId="0" applyFont="1" applyFill="1" applyBorder="1"/>
    <xf numFmtId="0" fontId="6" fillId="5" borderId="11" xfId="0" applyFont="1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0" fontId="3" fillId="0" borderId="7" xfId="1" applyFont="1" applyBorder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9" xfId="0" applyFont="1" applyBorder="1" applyAlignment="1">
      <alignment horizontal="center"/>
    </xf>
  </cellXfs>
  <cellStyles count="3">
    <cellStyle name="Accent3" xfId="2" builtinId="37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98961</xdr:colOff>
      <xdr:row>8</xdr:row>
      <xdr:rowOff>49481</xdr:rowOff>
    </xdr:from>
    <xdr:to>
      <xdr:col>9</xdr:col>
      <xdr:colOff>92776</xdr:colOff>
      <xdr:row>10</xdr:row>
      <xdr:rowOff>160812</xdr:rowOff>
    </xdr:to>
    <xdr:sp macro="" textlink="">
      <xdr:nvSpPr>
        <xdr:cNvPr id="2" name="Right Brace 1"/>
        <xdr:cNvSpPr/>
      </xdr:nvSpPr>
      <xdr:spPr>
        <a:xfrm>
          <a:off x="4366161" y="1592531"/>
          <a:ext cx="1213015" cy="49233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457695</xdr:colOff>
      <xdr:row>11</xdr:row>
      <xdr:rowOff>18555</xdr:rowOff>
    </xdr:from>
    <xdr:to>
      <xdr:col>9</xdr:col>
      <xdr:colOff>37111</xdr:colOff>
      <xdr:row>12</xdr:row>
      <xdr:rowOff>154627</xdr:rowOff>
    </xdr:to>
    <xdr:sp macro="" textlink="">
      <xdr:nvSpPr>
        <xdr:cNvPr id="3" name="Right Brace 2"/>
        <xdr:cNvSpPr/>
      </xdr:nvSpPr>
      <xdr:spPr>
        <a:xfrm>
          <a:off x="4115295" y="2133105"/>
          <a:ext cx="1408216" cy="32657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581396</xdr:colOff>
      <xdr:row>9</xdr:row>
      <xdr:rowOff>80406</xdr:rowOff>
    </xdr:from>
    <xdr:to>
      <xdr:col>6</xdr:col>
      <xdr:colOff>173181</xdr:colOff>
      <xdr:row>14</xdr:row>
      <xdr:rowOff>129887</xdr:rowOff>
    </xdr:to>
    <xdr:cxnSp macro="">
      <xdr:nvCxnSpPr>
        <xdr:cNvPr id="4" name="Straight Arrow Connector 3"/>
        <xdr:cNvCxnSpPr/>
      </xdr:nvCxnSpPr>
      <xdr:spPr>
        <a:xfrm flipH="1">
          <a:off x="1800596" y="1813956"/>
          <a:ext cx="2030185" cy="100198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575211</xdr:colOff>
      <xdr:row>11</xdr:row>
      <xdr:rowOff>80406</xdr:rowOff>
    </xdr:from>
    <xdr:to>
      <xdr:col>6</xdr:col>
      <xdr:colOff>105146</xdr:colOff>
      <xdr:row>14</xdr:row>
      <xdr:rowOff>123702</xdr:rowOff>
    </xdr:to>
    <xdr:cxnSp macro="">
      <xdr:nvCxnSpPr>
        <xdr:cNvPr id="5" name="Straight Arrow Connector 4"/>
        <xdr:cNvCxnSpPr/>
      </xdr:nvCxnSpPr>
      <xdr:spPr>
        <a:xfrm flipH="1">
          <a:off x="1794411" y="2194956"/>
          <a:ext cx="1968335" cy="614796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296883</xdr:colOff>
      <xdr:row>10</xdr:row>
      <xdr:rowOff>105146</xdr:rowOff>
    </xdr:from>
    <xdr:to>
      <xdr:col>9</xdr:col>
      <xdr:colOff>500990</xdr:colOff>
      <xdr:row>17</xdr:row>
      <xdr:rowOff>117517</xdr:rowOff>
    </xdr:to>
    <xdr:cxnSp macro="">
      <xdr:nvCxnSpPr>
        <xdr:cNvPr id="6" name="Straight Arrow Connector 5"/>
        <xdr:cNvCxnSpPr/>
      </xdr:nvCxnSpPr>
      <xdr:spPr>
        <a:xfrm>
          <a:off x="3954483" y="2029196"/>
          <a:ext cx="2032907" cy="134587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216477</xdr:colOff>
      <xdr:row>12</xdr:row>
      <xdr:rowOff>98961</xdr:rowOff>
    </xdr:from>
    <xdr:to>
      <xdr:col>9</xdr:col>
      <xdr:colOff>519545</xdr:colOff>
      <xdr:row>17</xdr:row>
      <xdr:rowOff>136072</xdr:rowOff>
    </xdr:to>
    <xdr:cxnSp macro="">
      <xdr:nvCxnSpPr>
        <xdr:cNvPr id="7" name="Straight Arrow Connector 6"/>
        <xdr:cNvCxnSpPr/>
      </xdr:nvCxnSpPr>
      <xdr:spPr>
        <a:xfrm>
          <a:off x="3874077" y="2404011"/>
          <a:ext cx="2131868" cy="98961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Ansari/Excel%20Class/March/Excel_Class(5.30,23-Mar-13)/Offset_Class(23-Mar-13,5.3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Offset-1"/>
      <sheetName val="Offset-2"/>
      <sheetName val="Offset-3"/>
      <sheetName val="Offset-4"/>
      <sheetName val="Offset-5"/>
      <sheetName val="Offset-6"/>
      <sheetName val="Offset-7"/>
      <sheetName val="Offset-8"/>
      <sheetName val="Offset-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Rajiv</v>
          </cell>
          <cell r="B2">
            <v>2.5</v>
          </cell>
          <cell r="C2">
            <v>3</v>
          </cell>
          <cell r="D2">
            <v>3.5</v>
          </cell>
          <cell r="E2">
            <v>2</v>
          </cell>
          <cell r="F2">
            <v>3</v>
          </cell>
          <cell r="G2">
            <v>4</v>
          </cell>
          <cell r="H2">
            <v>5</v>
          </cell>
          <cell r="I2">
            <v>4</v>
          </cell>
          <cell r="J2">
            <v>0</v>
          </cell>
          <cell r="K2">
            <v>4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8"/>
  <sheetViews>
    <sheetView zoomScale="154" zoomScaleNormal="154" workbookViewId="0">
      <selection activeCell="A13" sqref="A13"/>
    </sheetView>
  </sheetViews>
  <sheetFormatPr defaultRowHeight="15" x14ac:dyDescent="0.25"/>
  <sheetData>
    <row r="1" spans="1:20" ht="15.75" thickBot="1" x14ac:dyDescent="0.3"/>
    <row r="2" spans="1:20" x14ac:dyDescent="0.25">
      <c r="D2" s="11" t="s">
        <v>0</v>
      </c>
      <c r="E2" s="12"/>
      <c r="F2" s="12"/>
      <c r="G2" s="12"/>
      <c r="H2" s="12"/>
      <c r="I2" s="13"/>
      <c r="T2" s="1" t="s">
        <v>1</v>
      </c>
    </row>
    <row r="3" spans="1:20" x14ac:dyDescent="0.25">
      <c r="D3" s="14"/>
      <c r="E3" s="15"/>
      <c r="F3" s="15"/>
      <c r="G3" s="15"/>
      <c r="H3" s="15"/>
      <c r="I3" s="16"/>
    </row>
    <row r="4" spans="1:20" x14ac:dyDescent="0.25">
      <c r="D4" s="14"/>
      <c r="E4" s="15"/>
      <c r="F4" s="15"/>
      <c r="G4" s="15"/>
      <c r="H4" s="15"/>
      <c r="I4" s="16"/>
    </row>
    <row r="5" spans="1:20" x14ac:dyDescent="0.25">
      <c r="A5" t="s">
        <v>2</v>
      </c>
      <c r="D5" s="14"/>
      <c r="E5" s="15"/>
      <c r="F5" s="15"/>
      <c r="G5" s="15"/>
      <c r="H5" s="15"/>
      <c r="I5" s="16"/>
    </row>
    <row r="6" spans="1:20" ht="15.75" thickBot="1" x14ac:dyDescent="0.3">
      <c r="D6" s="17"/>
      <c r="E6" s="18"/>
      <c r="F6" s="18"/>
      <c r="G6" s="18"/>
      <c r="H6" s="18"/>
      <c r="I6" s="19"/>
      <c r="P6" s="2" t="s">
        <v>3</v>
      </c>
    </row>
    <row r="7" spans="1:20" x14ac:dyDescent="0.25">
      <c r="O7" t="s">
        <v>4</v>
      </c>
      <c r="P7" t="s">
        <v>5</v>
      </c>
      <c r="Q7" t="s">
        <v>6</v>
      </c>
    </row>
    <row r="8" spans="1:20" x14ac:dyDescent="0.25">
      <c r="P8" t="s">
        <v>7</v>
      </c>
    </row>
    <row r="9" spans="1:20" x14ac:dyDescent="0.25">
      <c r="F9" t="s">
        <v>0</v>
      </c>
      <c r="G9" t="s">
        <v>8</v>
      </c>
    </row>
    <row r="10" spans="1:20" x14ac:dyDescent="0.25">
      <c r="G10" t="s">
        <v>9</v>
      </c>
      <c r="J10" t="s">
        <v>10</v>
      </c>
      <c r="P10" t="str">
        <f ca="1">OFFSET(P7,-5,4)</f>
        <v>Ashok</v>
      </c>
    </row>
    <row r="11" spans="1:20" x14ac:dyDescent="0.25">
      <c r="G11" t="s">
        <v>11</v>
      </c>
    </row>
    <row r="12" spans="1:20" x14ac:dyDescent="0.25">
      <c r="G12" t="s">
        <v>12</v>
      </c>
    </row>
    <row r="13" spans="1:20" x14ac:dyDescent="0.25">
      <c r="G13" t="s">
        <v>13</v>
      </c>
      <c r="J13" t="s">
        <v>14</v>
      </c>
    </row>
    <row r="16" spans="1:20" x14ac:dyDescent="0.25">
      <c r="C16" t="s">
        <v>15</v>
      </c>
    </row>
    <row r="18" spans="11:11" x14ac:dyDescent="0.25">
      <c r="K18" t="s">
        <v>16</v>
      </c>
    </row>
  </sheetData>
  <mergeCells count="1">
    <mergeCell ref="D2:I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"/>
  <sheetViews>
    <sheetView workbookViewId="0">
      <selection activeCell="E13" sqref="E13"/>
    </sheetView>
  </sheetViews>
  <sheetFormatPr defaultRowHeight="15" x14ac:dyDescent="0.25"/>
  <sheetData>
    <row r="1" spans="1:9" x14ac:dyDescent="0.25">
      <c r="A1" s="3" t="s">
        <v>17</v>
      </c>
      <c r="B1" s="3" t="s">
        <v>18</v>
      </c>
      <c r="C1" t="s">
        <v>25</v>
      </c>
    </row>
    <row r="2" spans="1:9" x14ac:dyDescent="0.25">
      <c r="A2" t="s">
        <v>19</v>
      </c>
      <c r="B2">
        <v>111</v>
      </c>
      <c r="C2" t="s">
        <v>26</v>
      </c>
    </row>
    <row r="3" spans="1:9" x14ac:dyDescent="0.25">
      <c r="A3" t="s">
        <v>20</v>
      </c>
      <c r="B3">
        <f>B2+111</f>
        <v>222</v>
      </c>
      <c r="C3" t="s">
        <v>27</v>
      </c>
    </row>
    <row r="4" spans="1:9" x14ac:dyDescent="0.25">
      <c r="A4" t="s">
        <v>21</v>
      </c>
      <c r="B4">
        <f t="shared" ref="B4:B6" si="0">B3+111</f>
        <v>333</v>
      </c>
      <c r="C4" t="s">
        <v>28</v>
      </c>
      <c r="H4" t="s">
        <v>17</v>
      </c>
      <c r="I4" t="s">
        <v>31</v>
      </c>
    </row>
    <row r="5" spans="1:9" x14ac:dyDescent="0.25">
      <c r="A5" t="s">
        <v>22</v>
      </c>
      <c r="B5">
        <f t="shared" si="0"/>
        <v>444</v>
      </c>
      <c r="C5" t="s">
        <v>29</v>
      </c>
      <c r="H5" t="s">
        <v>21</v>
      </c>
      <c r="I5" t="str">
        <f ca="1">OFFSET($A$1,MATCH($H$5,$A$2:$A$6,0),2)</f>
        <v>d</v>
      </c>
    </row>
    <row r="6" spans="1:9" x14ac:dyDescent="0.25">
      <c r="A6" t="s">
        <v>23</v>
      </c>
      <c r="B6">
        <f t="shared" si="0"/>
        <v>555</v>
      </c>
      <c r="C6" t="s">
        <v>30</v>
      </c>
    </row>
    <row r="9" spans="1:9" x14ac:dyDescent="0.25">
      <c r="E9" t="s">
        <v>17</v>
      </c>
      <c r="F9" t="s">
        <v>24</v>
      </c>
    </row>
    <row r="10" spans="1:9" x14ac:dyDescent="0.25">
      <c r="E10" t="s">
        <v>21</v>
      </c>
      <c r="F10">
        <f ca="1">OFFSET($B$1,MATCH($E$10,$A$2:$A$6,0),0)</f>
        <v>333</v>
      </c>
    </row>
  </sheetData>
  <dataValidations count="1">
    <dataValidation type="list" allowBlank="1" showInputMessage="1" showErrorMessage="1" sqref="E10 H5">
      <formula1>$A$2:$A$6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D24"/>
  <sheetViews>
    <sheetView topLeftCell="A4" workbookViewId="0">
      <selection activeCell="D21" sqref="D21"/>
    </sheetView>
  </sheetViews>
  <sheetFormatPr defaultRowHeight="15" x14ac:dyDescent="0.25"/>
  <cols>
    <col min="1" max="1" width="29.42578125" bestFit="1" customWidth="1"/>
    <col min="2" max="2" width="26.85546875" bestFit="1" customWidth="1"/>
  </cols>
  <sheetData>
    <row r="5" spans="1:4" x14ac:dyDescent="0.25">
      <c r="A5" t="s">
        <v>17</v>
      </c>
      <c r="B5" t="s">
        <v>51</v>
      </c>
    </row>
    <row r="6" spans="1:4" x14ac:dyDescent="0.25">
      <c r="A6" s="4" t="s">
        <v>32</v>
      </c>
    </row>
    <row r="7" spans="1:4" x14ac:dyDescent="0.25">
      <c r="A7" s="5" t="s">
        <v>33</v>
      </c>
      <c r="B7" t="str">
        <f ca="1">OFFSET($A$5,COUNTA($A$5:$A$24)-ROW(A1),0)</f>
        <v xml:space="preserve">SURENDER PRATAP VERMA    </v>
      </c>
      <c r="C7">
        <f>COUNTA($A$5:$A$24)-ROW(A1)</f>
        <v>19</v>
      </c>
      <c r="D7" t="str">
        <f>INDEX($A$5:$A$24,COUNTA($A$5:$A$24)-ROW(A1))</f>
        <v xml:space="preserve">NEERAJ KUMAR TOMER       </v>
      </c>
    </row>
    <row r="8" spans="1:4" x14ac:dyDescent="0.25">
      <c r="A8" s="4" t="s">
        <v>34</v>
      </c>
      <c r="B8" t="str">
        <f t="shared" ref="B8:B24" ca="1" si="0">OFFSET($A$5,COUNTA($A$5:$A$24)-ROW(A2),0)</f>
        <v xml:space="preserve">NEERAJ KUMAR TOMER       </v>
      </c>
      <c r="C8">
        <f t="shared" ref="C8:C19" si="1">COUNTA($A$5:$A$24)-ROW(A2)</f>
        <v>18</v>
      </c>
      <c r="D8" t="str">
        <f t="shared" ref="D8:D19" si="2">INDEX($A$5:$A$24,COUNTA($A$5:$A$24)-ROW(A2))</f>
        <v xml:space="preserve">GIRIRAJ DUTTA            </v>
      </c>
    </row>
    <row r="9" spans="1:4" x14ac:dyDescent="0.25">
      <c r="A9" s="5" t="s">
        <v>35</v>
      </c>
      <c r="B9" t="str">
        <f t="shared" ca="1" si="0"/>
        <v xml:space="preserve">GIRIRAJ DUTTA            </v>
      </c>
      <c r="C9">
        <f t="shared" si="1"/>
        <v>17</v>
      </c>
      <c r="D9" t="str">
        <f t="shared" si="2"/>
        <v xml:space="preserve">VIKRAM SINGH             </v>
      </c>
    </row>
    <row r="10" spans="1:4" x14ac:dyDescent="0.25">
      <c r="A10" s="4" t="s">
        <v>36</v>
      </c>
      <c r="B10" t="str">
        <f t="shared" ca="1" si="0"/>
        <v xml:space="preserve">VIKRAM SINGH             </v>
      </c>
      <c r="C10">
        <f t="shared" si="1"/>
        <v>16</v>
      </c>
      <c r="D10" t="str">
        <f t="shared" si="2"/>
        <v xml:space="preserve">VIJAY KUMAR              </v>
      </c>
    </row>
    <row r="11" spans="1:4" x14ac:dyDescent="0.25">
      <c r="A11" s="5" t="s">
        <v>37</v>
      </c>
      <c r="B11" t="str">
        <f t="shared" ca="1" si="0"/>
        <v xml:space="preserve">VIJAY KUMAR              </v>
      </c>
      <c r="C11">
        <f t="shared" si="1"/>
        <v>15</v>
      </c>
      <c r="D11" t="str">
        <f t="shared" si="2"/>
        <v xml:space="preserve">SONAM KAPOOR             </v>
      </c>
    </row>
    <row r="12" spans="1:4" x14ac:dyDescent="0.25">
      <c r="A12" s="4" t="s">
        <v>38</v>
      </c>
      <c r="B12" t="str">
        <f t="shared" ca="1" si="0"/>
        <v xml:space="preserve">SONAM KAPOOR             </v>
      </c>
      <c r="C12">
        <f t="shared" si="1"/>
        <v>14</v>
      </c>
      <c r="D12" t="str">
        <f t="shared" si="2"/>
        <v xml:space="preserve">RADHEY SHYAM YADAV       </v>
      </c>
    </row>
    <row r="13" spans="1:4" x14ac:dyDescent="0.25">
      <c r="A13" s="5" t="s">
        <v>39</v>
      </c>
      <c r="B13" t="str">
        <f t="shared" ca="1" si="0"/>
        <v xml:space="preserve">RADHEY SHYAM YADAV       </v>
      </c>
      <c r="C13">
        <f t="shared" si="1"/>
        <v>13</v>
      </c>
      <c r="D13" t="str">
        <f t="shared" si="2"/>
        <v xml:space="preserve">CHANDRABHANU ROUT        </v>
      </c>
    </row>
    <row r="14" spans="1:4" x14ac:dyDescent="0.25">
      <c r="A14" s="4" t="s">
        <v>40</v>
      </c>
      <c r="B14" t="str">
        <f t="shared" ca="1" si="0"/>
        <v xml:space="preserve">CHANDRABHANU ROUT        </v>
      </c>
      <c r="C14">
        <f t="shared" si="1"/>
        <v>12</v>
      </c>
      <c r="D14" t="str">
        <f t="shared" si="2"/>
        <v xml:space="preserve">JULIA NINGTHOUJAN        </v>
      </c>
    </row>
    <row r="15" spans="1:4" x14ac:dyDescent="0.25">
      <c r="A15" s="5" t="s">
        <v>41</v>
      </c>
      <c r="B15" t="str">
        <f t="shared" ca="1" si="0"/>
        <v xml:space="preserve">JULIA NINGTHOUJAN        </v>
      </c>
      <c r="C15">
        <f t="shared" si="1"/>
        <v>11</v>
      </c>
      <c r="D15" t="str">
        <f t="shared" si="2"/>
        <v xml:space="preserve">PRAVEEN KUMAR            </v>
      </c>
    </row>
    <row r="16" spans="1:4" x14ac:dyDescent="0.25">
      <c r="A16" s="4" t="s">
        <v>42</v>
      </c>
      <c r="B16" t="str">
        <f t="shared" ca="1" si="0"/>
        <v xml:space="preserve">PRAVEEN KUMAR            </v>
      </c>
      <c r="C16">
        <f t="shared" si="1"/>
        <v>10</v>
      </c>
      <c r="D16" t="str">
        <f t="shared" si="2"/>
        <v xml:space="preserve">BHAGAT SINGH DHANKA      </v>
      </c>
    </row>
    <row r="17" spans="1:4" x14ac:dyDescent="0.25">
      <c r="A17" s="5" t="s">
        <v>43</v>
      </c>
      <c r="B17" t="str">
        <f t="shared" ca="1" si="0"/>
        <v xml:space="preserve">BHAGAT SINGH DHANKA      </v>
      </c>
      <c r="C17">
        <f t="shared" si="1"/>
        <v>9</v>
      </c>
      <c r="D17" t="str">
        <f t="shared" si="2"/>
        <v xml:space="preserve">SRIKANTA SAMAL           </v>
      </c>
    </row>
    <row r="18" spans="1:4" x14ac:dyDescent="0.25">
      <c r="A18" s="4" t="s">
        <v>44</v>
      </c>
      <c r="B18" t="str">
        <f t="shared" ca="1" si="0"/>
        <v xml:space="preserve">SRIKANTA SAMAL           </v>
      </c>
      <c r="C18">
        <f t="shared" si="1"/>
        <v>8</v>
      </c>
      <c r="D18" t="str">
        <f t="shared" si="2"/>
        <v xml:space="preserve">DHARMENDRA KUMAR         </v>
      </c>
    </row>
    <row r="19" spans="1:4" x14ac:dyDescent="0.25">
      <c r="A19" s="5" t="s">
        <v>45</v>
      </c>
      <c r="B19" t="str">
        <f t="shared" ca="1" si="0"/>
        <v xml:space="preserve">DHARMENDRA KUMAR         </v>
      </c>
      <c r="C19">
        <f t="shared" si="1"/>
        <v>7</v>
      </c>
      <c r="D19" t="str">
        <f t="shared" si="2"/>
        <v xml:space="preserve">SUSANTA SAHOO            </v>
      </c>
    </row>
    <row r="20" spans="1:4" x14ac:dyDescent="0.25">
      <c r="A20" s="4" t="s">
        <v>46</v>
      </c>
      <c r="B20" t="str">
        <f t="shared" ca="1" si="0"/>
        <v xml:space="preserve">SUSANTA SAHOO            </v>
      </c>
    </row>
    <row r="21" spans="1:4" x14ac:dyDescent="0.25">
      <c r="A21" s="5" t="s">
        <v>47</v>
      </c>
      <c r="B21" t="str">
        <f t="shared" ca="1" si="0"/>
        <v xml:space="preserve">NAIYER IQUBAL            </v>
      </c>
    </row>
    <row r="22" spans="1:4" x14ac:dyDescent="0.25">
      <c r="A22" s="4" t="s">
        <v>48</v>
      </c>
      <c r="B22" t="str">
        <f t="shared" ca="1" si="0"/>
        <v xml:space="preserve">GOVIND KR. MISHRA        </v>
      </c>
    </row>
    <row r="23" spans="1:4" x14ac:dyDescent="0.25">
      <c r="A23" s="5" t="s">
        <v>49</v>
      </c>
      <c r="B23" t="str">
        <f t="shared" ca="1" si="0"/>
        <v xml:space="preserve">ROSHAN KR. SINGH         </v>
      </c>
    </row>
    <row r="24" spans="1:4" x14ac:dyDescent="0.25">
      <c r="A24" s="4" t="s">
        <v>50</v>
      </c>
      <c r="B24" t="str">
        <f t="shared" ca="1" si="0"/>
        <v xml:space="preserve">ABHIJIT DAS             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05"/>
  <sheetViews>
    <sheetView workbookViewId="0">
      <selection activeCell="E6" sqref="E6"/>
    </sheetView>
  </sheetViews>
  <sheetFormatPr defaultRowHeight="15" x14ac:dyDescent="0.25"/>
  <cols>
    <col min="5" max="5" width="11.85546875" bestFit="1" customWidth="1"/>
  </cols>
  <sheetData>
    <row r="1" spans="1:5" ht="15.75" thickBot="1" x14ac:dyDescent="0.3">
      <c r="A1" s="6" t="s">
        <v>52</v>
      </c>
      <c r="E1" t="s">
        <v>61</v>
      </c>
    </row>
    <row r="2" spans="1:5" ht="15.75" thickTop="1" x14ac:dyDescent="0.25">
      <c r="A2" s="7" t="s">
        <v>53</v>
      </c>
      <c r="E2" t="str">
        <f t="array" aca="1" ref="E2" ca="1">OFFSET($A$1,MATCH(0,COUNTIF($E$1:E1,$A$2:$A$405),0),0)</f>
        <v>NT</v>
      </c>
    </row>
    <row r="3" spans="1:5" x14ac:dyDescent="0.25">
      <c r="A3" s="8" t="s">
        <v>53</v>
      </c>
      <c r="E3" t="str">
        <f t="array" aca="1" ref="E3" ca="1">OFFSET($A$1,MATCH(0,COUNTIF($E$1:E2,$A$2:$A$405),0),0)</f>
        <v>VIC</v>
      </c>
    </row>
    <row r="4" spans="1:5" x14ac:dyDescent="0.25">
      <c r="A4" s="7" t="s">
        <v>54</v>
      </c>
      <c r="E4" t="str">
        <f t="array" aca="1" ref="E4" ca="1">OFFSET($A$1,MATCH(0,COUNTIF($E$1:E3,$A$2:$A$405),0),0)</f>
        <v>NSW</v>
      </c>
    </row>
    <row r="5" spans="1:5" x14ac:dyDescent="0.25">
      <c r="A5" s="8" t="s">
        <v>55</v>
      </c>
      <c r="E5" t="str">
        <f t="array" aca="1" ref="E5" ca="1">OFFSET($A$1,MATCH(0,COUNTIF($E$1:E4,$A$2:$A$405),0),0)</f>
        <v>TAS</v>
      </c>
    </row>
    <row r="6" spans="1:5" x14ac:dyDescent="0.25">
      <c r="A6" s="7" t="s">
        <v>53</v>
      </c>
      <c r="E6" t="str">
        <f t="array" aca="1" ref="E6" ca="1">OFFSET($A$1,MATCH(0,COUNTIF($E$1:E5,$A$2:$A$405),0),0)</f>
        <v>QLD</v>
      </c>
    </row>
    <row r="7" spans="1:5" x14ac:dyDescent="0.25">
      <c r="A7" s="8" t="s">
        <v>53</v>
      </c>
      <c r="E7" t="str">
        <f t="array" aca="1" ref="E7" ca="1">OFFSET($A$1,MATCH(0,COUNTIF($E$1:E6,$A$2:$A$405),0),0)</f>
        <v>SA</v>
      </c>
    </row>
    <row r="8" spans="1:5" x14ac:dyDescent="0.25">
      <c r="A8" s="7" t="s">
        <v>56</v>
      </c>
      <c r="E8" t="str">
        <f t="array" aca="1" ref="E8" ca="1">OFFSET($A$1,MATCH(0,COUNTIF($E$1:E7,$A$2:$A$405),0),0)</f>
        <v>WA</v>
      </c>
    </row>
    <row r="9" spans="1:5" x14ac:dyDescent="0.25">
      <c r="A9" s="8" t="s">
        <v>54</v>
      </c>
      <c r="E9" t="str">
        <f t="array" aca="1" ref="E9" ca="1">OFFSET($A$1,MATCH(0,COUNTIF($E$1:E8,$A$2:$A$405),0),0)</f>
        <v>OCL</v>
      </c>
    </row>
    <row r="10" spans="1:5" x14ac:dyDescent="0.25">
      <c r="A10" s="7" t="s">
        <v>55</v>
      </c>
      <c r="E10" t="e">
        <f t="array" aca="1" ref="E10" ca="1">OFFSET($A$1,MATCH(0,COUNTIF($E$1:E9,$A$2:$A$405),0),0)</f>
        <v>#N/A</v>
      </c>
    </row>
    <row r="11" spans="1:5" x14ac:dyDescent="0.25">
      <c r="A11" s="8" t="s">
        <v>53</v>
      </c>
      <c r="E11" t="e">
        <f t="array" aca="1" ref="E11" ca="1">OFFSET($A$1,MATCH(0,COUNTIF($E$1:E10,$A$2:$A$405),0),0)</f>
        <v>#N/A</v>
      </c>
    </row>
    <row r="12" spans="1:5" x14ac:dyDescent="0.25">
      <c r="A12" s="7" t="s">
        <v>54</v>
      </c>
      <c r="E12" t="e">
        <f t="array" aca="1" ref="E12" ca="1">OFFSET($A$1,MATCH(0,COUNTIF($E$1:E11,$A$2:$A$405),0),0)</f>
        <v>#N/A</v>
      </c>
    </row>
    <row r="13" spans="1:5" x14ac:dyDescent="0.25">
      <c r="A13" s="8" t="s">
        <v>56</v>
      </c>
      <c r="E13" t="e">
        <f t="array" aca="1" ref="E13" ca="1">OFFSET($A$1,MATCH(0,COUNTIF($E$1:E12,$A$2:$A$405),0),0)</f>
        <v>#N/A</v>
      </c>
    </row>
    <row r="14" spans="1:5" x14ac:dyDescent="0.25">
      <c r="A14" s="7" t="s">
        <v>57</v>
      </c>
    </row>
    <row r="15" spans="1:5" x14ac:dyDescent="0.25">
      <c r="A15" s="8" t="s">
        <v>55</v>
      </c>
    </row>
    <row r="16" spans="1:5" x14ac:dyDescent="0.25">
      <c r="A16" s="7" t="s">
        <v>54</v>
      </c>
    </row>
    <row r="17" spans="1:1" x14ac:dyDescent="0.25">
      <c r="A17" s="8" t="s">
        <v>58</v>
      </c>
    </row>
    <row r="18" spans="1:1" x14ac:dyDescent="0.25">
      <c r="A18" s="7" t="s">
        <v>55</v>
      </c>
    </row>
    <row r="19" spans="1:1" x14ac:dyDescent="0.25">
      <c r="A19" s="8" t="s">
        <v>57</v>
      </c>
    </row>
    <row r="20" spans="1:1" x14ac:dyDescent="0.25">
      <c r="A20" s="7" t="s">
        <v>59</v>
      </c>
    </row>
    <row r="21" spans="1:1" x14ac:dyDescent="0.25">
      <c r="A21" s="8" t="s">
        <v>58</v>
      </c>
    </row>
    <row r="22" spans="1:1" x14ac:dyDescent="0.25">
      <c r="A22" s="7" t="s">
        <v>57</v>
      </c>
    </row>
    <row r="23" spans="1:1" x14ac:dyDescent="0.25">
      <c r="A23" s="8" t="s">
        <v>54</v>
      </c>
    </row>
    <row r="24" spans="1:1" x14ac:dyDescent="0.25">
      <c r="A24" s="7" t="s">
        <v>58</v>
      </c>
    </row>
    <row r="25" spans="1:1" x14ac:dyDescent="0.25">
      <c r="A25" s="8" t="s">
        <v>53</v>
      </c>
    </row>
    <row r="26" spans="1:1" x14ac:dyDescent="0.25">
      <c r="A26" s="7" t="s">
        <v>53</v>
      </c>
    </row>
    <row r="27" spans="1:1" x14ac:dyDescent="0.25">
      <c r="A27" s="8" t="s">
        <v>57</v>
      </c>
    </row>
    <row r="28" spans="1:1" x14ac:dyDescent="0.25">
      <c r="A28" s="7" t="s">
        <v>56</v>
      </c>
    </row>
    <row r="29" spans="1:1" x14ac:dyDescent="0.25">
      <c r="A29" s="8" t="s">
        <v>54</v>
      </c>
    </row>
    <row r="30" spans="1:1" x14ac:dyDescent="0.25">
      <c r="A30" s="7" t="s">
        <v>54</v>
      </c>
    </row>
    <row r="31" spans="1:1" x14ac:dyDescent="0.25">
      <c r="A31" s="8" t="s">
        <v>59</v>
      </c>
    </row>
    <row r="32" spans="1:1" x14ac:dyDescent="0.25">
      <c r="A32" s="7" t="s">
        <v>55</v>
      </c>
    </row>
    <row r="33" spans="1:1" x14ac:dyDescent="0.25">
      <c r="A33" s="8" t="s">
        <v>55</v>
      </c>
    </row>
    <row r="34" spans="1:1" x14ac:dyDescent="0.25">
      <c r="A34" s="7" t="s">
        <v>54</v>
      </c>
    </row>
    <row r="35" spans="1:1" x14ac:dyDescent="0.25">
      <c r="A35" s="8" t="s">
        <v>59</v>
      </c>
    </row>
    <row r="36" spans="1:1" x14ac:dyDescent="0.25">
      <c r="A36" s="7" t="s">
        <v>54</v>
      </c>
    </row>
    <row r="37" spans="1:1" x14ac:dyDescent="0.25">
      <c r="A37" s="8" t="s">
        <v>53</v>
      </c>
    </row>
    <row r="38" spans="1:1" x14ac:dyDescent="0.25">
      <c r="A38" s="7" t="s">
        <v>56</v>
      </c>
    </row>
    <row r="39" spans="1:1" x14ac:dyDescent="0.25">
      <c r="A39" s="8" t="s">
        <v>58</v>
      </c>
    </row>
    <row r="40" spans="1:1" x14ac:dyDescent="0.25">
      <c r="A40" s="7" t="s">
        <v>55</v>
      </c>
    </row>
    <row r="41" spans="1:1" x14ac:dyDescent="0.25">
      <c r="A41" s="8" t="s">
        <v>54</v>
      </c>
    </row>
    <row r="42" spans="1:1" x14ac:dyDescent="0.25">
      <c r="A42" s="7" t="s">
        <v>53</v>
      </c>
    </row>
    <row r="43" spans="1:1" x14ac:dyDescent="0.25">
      <c r="A43" s="8" t="s">
        <v>53</v>
      </c>
    </row>
    <row r="44" spans="1:1" x14ac:dyDescent="0.25">
      <c r="A44" s="7" t="s">
        <v>56</v>
      </c>
    </row>
    <row r="45" spans="1:1" x14ac:dyDescent="0.25">
      <c r="A45" s="8" t="s">
        <v>59</v>
      </c>
    </row>
    <row r="46" spans="1:1" x14ac:dyDescent="0.25">
      <c r="A46" s="7" t="s">
        <v>56</v>
      </c>
    </row>
    <row r="47" spans="1:1" x14ac:dyDescent="0.25">
      <c r="A47" s="8" t="s">
        <v>57</v>
      </c>
    </row>
    <row r="48" spans="1:1" x14ac:dyDescent="0.25">
      <c r="A48" s="7" t="s">
        <v>58</v>
      </c>
    </row>
    <row r="49" spans="1:1" x14ac:dyDescent="0.25">
      <c r="A49" s="8" t="s">
        <v>53</v>
      </c>
    </row>
    <row r="50" spans="1:1" x14ac:dyDescent="0.25">
      <c r="A50" s="7" t="s">
        <v>59</v>
      </c>
    </row>
    <row r="51" spans="1:1" x14ac:dyDescent="0.25">
      <c r="A51" s="8" t="s">
        <v>58</v>
      </c>
    </row>
    <row r="52" spans="1:1" x14ac:dyDescent="0.25">
      <c r="A52" s="7" t="s">
        <v>55</v>
      </c>
    </row>
    <row r="53" spans="1:1" x14ac:dyDescent="0.25">
      <c r="A53" s="8" t="s">
        <v>55</v>
      </c>
    </row>
    <row r="54" spans="1:1" x14ac:dyDescent="0.25">
      <c r="A54" s="7" t="s">
        <v>53</v>
      </c>
    </row>
    <row r="55" spans="1:1" x14ac:dyDescent="0.25">
      <c r="A55" s="8" t="s">
        <v>56</v>
      </c>
    </row>
    <row r="56" spans="1:1" x14ac:dyDescent="0.25">
      <c r="A56" s="7" t="s">
        <v>54</v>
      </c>
    </row>
    <row r="57" spans="1:1" x14ac:dyDescent="0.25">
      <c r="A57" s="8" t="s">
        <v>53</v>
      </c>
    </row>
    <row r="58" spans="1:1" x14ac:dyDescent="0.25">
      <c r="A58" s="7" t="s">
        <v>56</v>
      </c>
    </row>
    <row r="59" spans="1:1" x14ac:dyDescent="0.25">
      <c r="A59" s="8" t="s">
        <v>58</v>
      </c>
    </row>
    <row r="60" spans="1:1" x14ac:dyDescent="0.25">
      <c r="A60" s="7" t="s">
        <v>53</v>
      </c>
    </row>
    <row r="61" spans="1:1" x14ac:dyDescent="0.25">
      <c r="A61" s="8" t="s">
        <v>58</v>
      </c>
    </row>
    <row r="62" spans="1:1" x14ac:dyDescent="0.25">
      <c r="A62" s="7" t="s">
        <v>55</v>
      </c>
    </row>
    <row r="63" spans="1:1" x14ac:dyDescent="0.25">
      <c r="A63" s="8" t="s">
        <v>58</v>
      </c>
    </row>
    <row r="64" spans="1:1" x14ac:dyDescent="0.25">
      <c r="A64" s="7" t="s">
        <v>55</v>
      </c>
    </row>
    <row r="65" spans="1:1" x14ac:dyDescent="0.25">
      <c r="A65" s="8" t="s">
        <v>53</v>
      </c>
    </row>
    <row r="66" spans="1:1" x14ac:dyDescent="0.25">
      <c r="A66" s="7" t="s">
        <v>58</v>
      </c>
    </row>
    <row r="67" spans="1:1" x14ac:dyDescent="0.25">
      <c r="A67" s="8" t="s">
        <v>55</v>
      </c>
    </row>
    <row r="68" spans="1:1" x14ac:dyDescent="0.25">
      <c r="A68" s="7" t="s">
        <v>59</v>
      </c>
    </row>
    <row r="69" spans="1:1" x14ac:dyDescent="0.25">
      <c r="A69" s="8" t="s">
        <v>56</v>
      </c>
    </row>
    <row r="70" spans="1:1" x14ac:dyDescent="0.25">
      <c r="A70" s="7" t="s">
        <v>56</v>
      </c>
    </row>
    <row r="71" spans="1:1" x14ac:dyDescent="0.25">
      <c r="A71" s="8" t="s">
        <v>53</v>
      </c>
    </row>
    <row r="72" spans="1:1" x14ac:dyDescent="0.25">
      <c r="A72" s="7" t="s">
        <v>56</v>
      </c>
    </row>
    <row r="73" spans="1:1" x14ac:dyDescent="0.25">
      <c r="A73" s="8" t="s">
        <v>57</v>
      </c>
    </row>
    <row r="74" spans="1:1" x14ac:dyDescent="0.25">
      <c r="A74" s="7" t="s">
        <v>57</v>
      </c>
    </row>
    <row r="75" spans="1:1" x14ac:dyDescent="0.25">
      <c r="A75" s="8" t="s">
        <v>55</v>
      </c>
    </row>
    <row r="76" spans="1:1" x14ac:dyDescent="0.25">
      <c r="A76" s="7" t="s">
        <v>55</v>
      </c>
    </row>
    <row r="77" spans="1:1" x14ac:dyDescent="0.25">
      <c r="A77" s="8" t="s">
        <v>57</v>
      </c>
    </row>
    <row r="78" spans="1:1" x14ac:dyDescent="0.25">
      <c r="A78" s="7" t="s">
        <v>53</v>
      </c>
    </row>
    <row r="79" spans="1:1" x14ac:dyDescent="0.25">
      <c r="A79" s="8" t="s">
        <v>56</v>
      </c>
    </row>
    <row r="80" spans="1:1" x14ac:dyDescent="0.25">
      <c r="A80" s="7" t="s">
        <v>58</v>
      </c>
    </row>
    <row r="81" spans="1:1" x14ac:dyDescent="0.25">
      <c r="A81" s="8" t="s">
        <v>57</v>
      </c>
    </row>
    <row r="82" spans="1:1" x14ac:dyDescent="0.25">
      <c r="A82" s="7" t="s">
        <v>56</v>
      </c>
    </row>
    <row r="83" spans="1:1" x14ac:dyDescent="0.25">
      <c r="A83" s="8" t="s">
        <v>59</v>
      </c>
    </row>
    <row r="84" spans="1:1" x14ac:dyDescent="0.25">
      <c r="A84" s="7" t="s">
        <v>55</v>
      </c>
    </row>
    <row r="85" spans="1:1" x14ac:dyDescent="0.25">
      <c r="A85" s="8" t="s">
        <v>53</v>
      </c>
    </row>
    <row r="86" spans="1:1" x14ac:dyDescent="0.25">
      <c r="A86" s="7" t="s">
        <v>56</v>
      </c>
    </row>
    <row r="87" spans="1:1" x14ac:dyDescent="0.25">
      <c r="A87" s="8" t="s">
        <v>54</v>
      </c>
    </row>
    <row r="88" spans="1:1" x14ac:dyDescent="0.25">
      <c r="A88" s="7" t="s">
        <v>59</v>
      </c>
    </row>
    <row r="89" spans="1:1" x14ac:dyDescent="0.25">
      <c r="A89" s="8" t="s">
        <v>53</v>
      </c>
    </row>
    <row r="90" spans="1:1" x14ac:dyDescent="0.25">
      <c r="A90" s="7" t="s">
        <v>54</v>
      </c>
    </row>
    <row r="91" spans="1:1" x14ac:dyDescent="0.25">
      <c r="A91" s="8" t="s">
        <v>57</v>
      </c>
    </row>
    <row r="92" spans="1:1" x14ac:dyDescent="0.25">
      <c r="A92" s="7" t="s">
        <v>53</v>
      </c>
    </row>
    <row r="93" spans="1:1" x14ac:dyDescent="0.25">
      <c r="A93" s="8" t="s">
        <v>59</v>
      </c>
    </row>
    <row r="94" spans="1:1" x14ac:dyDescent="0.25">
      <c r="A94" s="7" t="s">
        <v>58</v>
      </c>
    </row>
    <row r="95" spans="1:1" x14ac:dyDescent="0.25">
      <c r="A95" s="8" t="s">
        <v>59</v>
      </c>
    </row>
    <row r="96" spans="1:1" x14ac:dyDescent="0.25">
      <c r="A96" s="7" t="s">
        <v>55</v>
      </c>
    </row>
    <row r="97" spans="1:1" x14ac:dyDescent="0.25">
      <c r="A97" s="8" t="s">
        <v>55</v>
      </c>
    </row>
    <row r="98" spans="1:1" x14ac:dyDescent="0.25">
      <c r="A98" s="7" t="s">
        <v>56</v>
      </c>
    </row>
    <row r="99" spans="1:1" x14ac:dyDescent="0.25">
      <c r="A99" s="8" t="s">
        <v>58</v>
      </c>
    </row>
    <row r="100" spans="1:1" x14ac:dyDescent="0.25">
      <c r="A100" s="7" t="s">
        <v>56</v>
      </c>
    </row>
    <row r="101" spans="1:1" x14ac:dyDescent="0.25">
      <c r="A101" s="8" t="s">
        <v>54</v>
      </c>
    </row>
    <row r="102" spans="1:1" x14ac:dyDescent="0.25">
      <c r="A102" s="7" t="s">
        <v>55</v>
      </c>
    </row>
    <row r="103" spans="1:1" x14ac:dyDescent="0.25">
      <c r="A103" s="8" t="s">
        <v>53</v>
      </c>
    </row>
    <row r="104" spans="1:1" x14ac:dyDescent="0.25">
      <c r="A104" s="7" t="s">
        <v>57</v>
      </c>
    </row>
    <row r="105" spans="1:1" x14ac:dyDescent="0.25">
      <c r="A105" s="8" t="s">
        <v>53</v>
      </c>
    </row>
    <row r="106" spans="1:1" x14ac:dyDescent="0.25">
      <c r="A106" s="7" t="s">
        <v>54</v>
      </c>
    </row>
    <row r="107" spans="1:1" x14ac:dyDescent="0.25">
      <c r="A107" s="8" t="s">
        <v>57</v>
      </c>
    </row>
    <row r="108" spans="1:1" x14ac:dyDescent="0.25">
      <c r="A108" s="7" t="s">
        <v>56</v>
      </c>
    </row>
    <row r="109" spans="1:1" x14ac:dyDescent="0.25">
      <c r="A109" s="8" t="s">
        <v>58</v>
      </c>
    </row>
    <row r="110" spans="1:1" x14ac:dyDescent="0.25">
      <c r="A110" s="7" t="s">
        <v>54</v>
      </c>
    </row>
    <row r="111" spans="1:1" x14ac:dyDescent="0.25">
      <c r="A111" s="8" t="s">
        <v>55</v>
      </c>
    </row>
    <row r="112" spans="1:1" x14ac:dyDescent="0.25">
      <c r="A112" s="7" t="s">
        <v>55</v>
      </c>
    </row>
    <row r="113" spans="1:1" x14ac:dyDescent="0.25">
      <c r="A113" s="8" t="s">
        <v>53</v>
      </c>
    </row>
    <row r="114" spans="1:1" x14ac:dyDescent="0.25">
      <c r="A114" s="7" t="s">
        <v>56</v>
      </c>
    </row>
    <row r="115" spans="1:1" x14ac:dyDescent="0.25">
      <c r="A115" s="8" t="s">
        <v>58</v>
      </c>
    </row>
    <row r="116" spans="1:1" x14ac:dyDescent="0.25">
      <c r="A116" s="7" t="s">
        <v>58</v>
      </c>
    </row>
    <row r="117" spans="1:1" x14ac:dyDescent="0.25">
      <c r="A117" s="8" t="s">
        <v>53</v>
      </c>
    </row>
    <row r="118" spans="1:1" x14ac:dyDescent="0.25">
      <c r="A118" s="7" t="s">
        <v>55</v>
      </c>
    </row>
    <row r="119" spans="1:1" x14ac:dyDescent="0.25">
      <c r="A119" s="8" t="s">
        <v>57</v>
      </c>
    </row>
    <row r="120" spans="1:1" x14ac:dyDescent="0.25">
      <c r="A120" s="7" t="s">
        <v>55</v>
      </c>
    </row>
    <row r="121" spans="1:1" x14ac:dyDescent="0.25">
      <c r="A121" s="8" t="s">
        <v>57</v>
      </c>
    </row>
    <row r="122" spans="1:1" x14ac:dyDescent="0.25">
      <c r="A122" s="7" t="s">
        <v>56</v>
      </c>
    </row>
    <row r="123" spans="1:1" x14ac:dyDescent="0.25">
      <c r="A123" s="8" t="s">
        <v>55</v>
      </c>
    </row>
    <row r="124" spans="1:1" x14ac:dyDescent="0.25">
      <c r="A124" s="7" t="s">
        <v>58</v>
      </c>
    </row>
    <row r="125" spans="1:1" x14ac:dyDescent="0.25">
      <c r="A125" s="8" t="s">
        <v>53</v>
      </c>
    </row>
    <row r="126" spans="1:1" x14ac:dyDescent="0.25">
      <c r="A126" s="7" t="s">
        <v>56</v>
      </c>
    </row>
    <row r="127" spans="1:1" x14ac:dyDescent="0.25">
      <c r="A127" s="8" t="s">
        <v>59</v>
      </c>
    </row>
    <row r="128" spans="1:1" x14ac:dyDescent="0.25">
      <c r="A128" s="7" t="s">
        <v>56</v>
      </c>
    </row>
    <row r="129" spans="1:1" x14ac:dyDescent="0.25">
      <c r="A129" s="8" t="s">
        <v>57</v>
      </c>
    </row>
    <row r="130" spans="1:1" x14ac:dyDescent="0.25">
      <c r="A130" s="7" t="s">
        <v>53</v>
      </c>
    </row>
    <row r="131" spans="1:1" x14ac:dyDescent="0.25">
      <c r="A131" s="8" t="s">
        <v>54</v>
      </c>
    </row>
    <row r="132" spans="1:1" x14ac:dyDescent="0.25">
      <c r="A132" s="7" t="s">
        <v>56</v>
      </c>
    </row>
    <row r="133" spans="1:1" x14ac:dyDescent="0.25">
      <c r="A133" s="8" t="s">
        <v>57</v>
      </c>
    </row>
    <row r="134" spans="1:1" x14ac:dyDescent="0.25">
      <c r="A134" s="7" t="s">
        <v>59</v>
      </c>
    </row>
    <row r="135" spans="1:1" x14ac:dyDescent="0.25">
      <c r="A135" s="8" t="s">
        <v>58</v>
      </c>
    </row>
    <row r="136" spans="1:1" x14ac:dyDescent="0.25">
      <c r="A136" s="7" t="s">
        <v>55</v>
      </c>
    </row>
    <row r="137" spans="1:1" x14ac:dyDescent="0.25">
      <c r="A137" s="8" t="s">
        <v>54</v>
      </c>
    </row>
    <row r="138" spans="1:1" x14ac:dyDescent="0.25">
      <c r="A138" s="7" t="s">
        <v>56</v>
      </c>
    </row>
    <row r="139" spans="1:1" x14ac:dyDescent="0.25">
      <c r="A139" s="8" t="s">
        <v>54</v>
      </c>
    </row>
    <row r="140" spans="1:1" x14ac:dyDescent="0.25">
      <c r="A140" s="7" t="s">
        <v>57</v>
      </c>
    </row>
    <row r="141" spans="1:1" x14ac:dyDescent="0.25">
      <c r="A141" s="8" t="s">
        <v>58</v>
      </c>
    </row>
    <row r="142" spans="1:1" x14ac:dyDescent="0.25">
      <c r="A142" s="7" t="s">
        <v>53</v>
      </c>
    </row>
    <row r="143" spans="1:1" x14ac:dyDescent="0.25">
      <c r="A143" s="8" t="s">
        <v>55</v>
      </c>
    </row>
    <row r="144" spans="1:1" x14ac:dyDescent="0.25">
      <c r="A144" s="7" t="s">
        <v>55</v>
      </c>
    </row>
    <row r="145" spans="1:1" x14ac:dyDescent="0.25">
      <c r="A145" s="8" t="s">
        <v>58</v>
      </c>
    </row>
    <row r="146" spans="1:1" x14ac:dyDescent="0.25">
      <c r="A146" s="7" t="s">
        <v>53</v>
      </c>
    </row>
    <row r="147" spans="1:1" x14ac:dyDescent="0.25">
      <c r="A147" s="8" t="s">
        <v>58</v>
      </c>
    </row>
    <row r="148" spans="1:1" x14ac:dyDescent="0.25">
      <c r="A148" s="7" t="s">
        <v>59</v>
      </c>
    </row>
    <row r="149" spans="1:1" x14ac:dyDescent="0.25">
      <c r="A149" s="8" t="s">
        <v>56</v>
      </c>
    </row>
    <row r="150" spans="1:1" x14ac:dyDescent="0.25">
      <c r="A150" s="7" t="s">
        <v>58</v>
      </c>
    </row>
    <row r="151" spans="1:1" x14ac:dyDescent="0.25">
      <c r="A151" s="8" t="s">
        <v>58</v>
      </c>
    </row>
    <row r="152" spans="1:1" x14ac:dyDescent="0.25">
      <c r="A152" s="7" t="s">
        <v>53</v>
      </c>
    </row>
    <row r="153" spans="1:1" x14ac:dyDescent="0.25">
      <c r="A153" s="8" t="s">
        <v>59</v>
      </c>
    </row>
    <row r="154" spans="1:1" x14ac:dyDescent="0.25">
      <c r="A154" s="7" t="s">
        <v>55</v>
      </c>
    </row>
    <row r="155" spans="1:1" x14ac:dyDescent="0.25">
      <c r="A155" s="8" t="s">
        <v>57</v>
      </c>
    </row>
    <row r="156" spans="1:1" x14ac:dyDescent="0.25">
      <c r="A156" s="7" t="s">
        <v>56</v>
      </c>
    </row>
    <row r="157" spans="1:1" x14ac:dyDescent="0.25">
      <c r="A157" s="8" t="s">
        <v>53</v>
      </c>
    </row>
    <row r="158" spans="1:1" x14ac:dyDescent="0.25">
      <c r="A158" s="7" t="s">
        <v>58</v>
      </c>
    </row>
    <row r="159" spans="1:1" x14ac:dyDescent="0.25">
      <c r="A159" s="8" t="s">
        <v>57</v>
      </c>
    </row>
    <row r="160" spans="1:1" x14ac:dyDescent="0.25">
      <c r="A160" s="7" t="s">
        <v>54</v>
      </c>
    </row>
    <row r="161" spans="1:1" x14ac:dyDescent="0.25">
      <c r="A161" s="8" t="s">
        <v>53</v>
      </c>
    </row>
    <row r="162" spans="1:1" x14ac:dyDescent="0.25">
      <c r="A162" s="7" t="s">
        <v>53</v>
      </c>
    </row>
    <row r="163" spans="1:1" x14ac:dyDescent="0.25">
      <c r="A163" s="8" t="s">
        <v>53</v>
      </c>
    </row>
    <row r="164" spans="1:1" x14ac:dyDescent="0.25">
      <c r="A164" s="7" t="s">
        <v>58</v>
      </c>
    </row>
    <row r="165" spans="1:1" x14ac:dyDescent="0.25">
      <c r="A165" s="8" t="s">
        <v>56</v>
      </c>
    </row>
    <row r="166" spans="1:1" x14ac:dyDescent="0.25">
      <c r="A166" s="7" t="s">
        <v>56</v>
      </c>
    </row>
    <row r="167" spans="1:1" x14ac:dyDescent="0.25">
      <c r="A167" s="8" t="s">
        <v>59</v>
      </c>
    </row>
    <row r="168" spans="1:1" x14ac:dyDescent="0.25">
      <c r="A168" s="7" t="s">
        <v>57</v>
      </c>
    </row>
    <row r="169" spans="1:1" x14ac:dyDescent="0.25">
      <c r="A169" s="8" t="s">
        <v>58</v>
      </c>
    </row>
    <row r="170" spans="1:1" x14ac:dyDescent="0.25">
      <c r="A170" s="7" t="s">
        <v>53</v>
      </c>
    </row>
    <row r="171" spans="1:1" x14ac:dyDescent="0.25">
      <c r="A171" s="8" t="s">
        <v>57</v>
      </c>
    </row>
    <row r="172" spans="1:1" x14ac:dyDescent="0.25">
      <c r="A172" s="7" t="s">
        <v>57</v>
      </c>
    </row>
    <row r="173" spans="1:1" x14ac:dyDescent="0.25">
      <c r="A173" s="8" t="s">
        <v>54</v>
      </c>
    </row>
    <row r="174" spans="1:1" x14ac:dyDescent="0.25">
      <c r="A174" s="7" t="s">
        <v>59</v>
      </c>
    </row>
    <row r="175" spans="1:1" x14ac:dyDescent="0.25">
      <c r="A175" s="8" t="s">
        <v>54</v>
      </c>
    </row>
    <row r="176" spans="1:1" x14ac:dyDescent="0.25">
      <c r="A176" s="7" t="s">
        <v>56</v>
      </c>
    </row>
    <row r="177" spans="1:1" x14ac:dyDescent="0.25">
      <c r="A177" s="8" t="s">
        <v>54</v>
      </c>
    </row>
    <row r="178" spans="1:1" x14ac:dyDescent="0.25">
      <c r="A178" s="7" t="s">
        <v>59</v>
      </c>
    </row>
    <row r="179" spans="1:1" x14ac:dyDescent="0.25">
      <c r="A179" s="8" t="s">
        <v>59</v>
      </c>
    </row>
    <row r="180" spans="1:1" x14ac:dyDescent="0.25">
      <c r="A180" s="7" t="s">
        <v>59</v>
      </c>
    </row>
    <row r="181" spans="1:1" x14ac:dyDescent="0.25">
      <c r="A181" s="8" t="s">
        <v>55</v>
      </c>
    </row>
    <row r="182" spans="1:1" x14ac:dyDescent="0.25">
      <c r="A182" s="7" t="s">
        <v>59</v>
      </c>
    </row>
    <row r="183" spans="1:1" x14ac:dyDescent="0.25">
      <c r="A183" s="8" t="s">
        <v>58</v>
      </c>
    </row>
    <row r="184" spans="1:1" x14ac:dyDescent="0.25">
      <c r="A184" s="7" t="s">
        <v>55</v>
      </c>
    </row>
    <row r="185" spans="1:1" x14ac:dyDescent="0.25">
      <c r="A185" s="8" t="s">
        <v>59</v>
      </c>
    </row>
    <row r="186" spans="1:1" x14ac:dyDescent="0.25">
      <c r="A186" s="7" t="s">
        <v>53</v>
      </c>
    </row>
    <row r="187" spans="1:1" x14ac:dyDescent="0.25">
      <c r="A187" s="8" t="s">
        <v>54</v>
      </c>
    </row>
    <row r="188" spans="1:1" x14ac:dyDescent="0.25">
      <c r="A188" s="7" t="s">
        <v>58</v>
      </c>
    </row>
    <row r="189" spans="1:1" x14ac:dyDescent="0.25">
      <c r="A189" s="8" t="s">
        <v>55</v>
      </c>
    </row>
    <row r="190" spans="1:1" x14ac:dyDescent="0.25">
      <c r="A190" s="7" t="s">
        <v>53</v>
      </c>
    </row>
    <row r="191" spans="1:1" x14ac:dyDescent="0.25">
      <c r="A191" s="8" t="s">
        <v>59</v>
      </c>
    </row>
    <row r="192" spans="1:1" x14ac:dyDescent="0.25">
      <c r="A192" s="7" t="s">
        <v>54</v>
      </c>
    </row>
    <row r="193" spans="1:1" x14ac:dyDescent="0.25">
      <c r="A193" s="8" t="s">
        <v>58</v>
      </c>
    </row>
    <row r="194" spans="1:1" x14ac:dyDescent="0.25">
      <c r="A194" s="7" t="s">
        <v>56</v>
      </c>
    </row>
    <row r="195" spans="1:1" x14ac:dyDescent="0.25">
      <c r="A195" s="8" t="s">
        <v>58</v>
      </c>
    </row>
    <row r="196" spans="1:1" x14ac:dyDescent="0.25">
      <c r="A196" s="7" t="s">
        <v>54</v>
      </c>
    </row>
    <row r="197" spans="1:1" x14ac:dyDescent="0.25">
      <c r="A197" s="8" t="s">
        <v>56</v>
      </c>
    </row>
    <row r="198" spans="1:1" x14ac:dyDescent="0.25">
      <c r="A198" s="7" t="s">
        <v>59</v>
      </c>
    </row>
    <row r="199" spans="1:1" x14ac:dyDescent="0.25">
      <c r="A199" s="8" t="s">
        <v>55</v>
      </c>
    </row>
    <row r="200" spans="1:1" x14ac:dyDescent="0.25">
      <c r="A200" s="7" t="s">
        <v>53</v>
      </c>
    </row>
    <row r="201" spans="1:1" x14ac:dyDescent="0.25">
      <c r="A201" s="8" t="s">
        <v>53</v>
      </c>
    </row>
    <row r="202" spans="1:1" x14ac:dyDescent="0.25">
      <c r="A202" s="7" t="s">
        <v>55</v>
      </c>
    </row>
    <row r="203" spans="1:1" x14ac:dyDescent="0.25">
      <c r="A203" s="8" t="s">
        <v>58</v>
      </c>
    </row>
    <row r="204" spans="1:1" x14ac:dyDescent="0.25">
      <c r="A204" s="7" t="s">
        <v>58</v>
      </c>
    </row>
    <row r="205" spans="1:1" x14ac:dyDescent="0.25">
      <c r="A205" s="8" t="s">
        <v>56</v>
      </c>
    </row>
    <row r="206" spans="1:1" x14ac:dyDescent="0.25">
      <c r="A206" s="7" t="s">
        <v>56</v>
      </c>
    </row>
    <row r="207" spans="1:1" x14ac:dyDescent="0.25">
      <c r="A207" s="8" t="s">
        <v>53</v>
      </c>
    </row>
    <row r="208" spans="1:1" x14ac:dyDescent="0.25">
      <c r="A208" s="7" t="s">
        <v>59</v>
      </c>
    </row>
    <row r="209" spans="1:1" x14ac:dyDescent="0.25">
      <c r="A209" s="8" t="s">
        <v>54</v>
      </c>
    </row>
    <row r="210" spans="1:1" x14ac:dyDescent="0.25">
      <c r="A210" s="7" t="s">
        <v>58</v>
      </c>
    </row>
    <row r="211" spans="1:1" x14ac:dyDescent="0.25">
      <c r="A211" s="8" t="s">
        <v>53</v>
      </c>
    </row>
    <row r="212" spans="1:1" x14ac:dyDescent="0.25">
      <c r="A212" s="7" t="s">
        <v>57</v>
      </c>
    </row>
    <row r="213" spans="1:1" x14ac:dyDescent="0.25">
      <c r="A213" s="8" t="s">
        <v>54</v>
      </c>
    </row>
    <row r="214" spans="1:1" x14ac:dyDescent="0.25">
      <c r="A214" s="7" t="s">
        <v>56</v>
      </c>
    </row>
    <row r="215" spans="1:1" x14ac:dyDescent="0.25">
      <c r="A215" s="8" t="s">
        <v>54</v>
      </c>
    </row>
    <row r="216" spans="1:1" x14ac:dyDescent="0.25">
      <c r="A216" s="7" t="s">
        <v>53</v>
      </c>
    </row>
    <row r="217" spans="1:1" x14ac:dyDescent="0.25">
      <c r="A217" s="8" t="s">
        <v>57</v>
      </c>
    </row>
    <row r="218" spans="1:1" x14ac:dyDescent="0.25">
      <c r="A218" s="7" t="s">
        <v>56</v>
      </c>
    </row>
    <row r="219" spans="1:1" x14ac:dyDescent="0.25">
      <c r="A219" s="8" t="s">
        <v>58</v>
      </c>
    </row>
    <row r="220" spans="1:1" x14ac:dyDescent="0.25">
      <c r="A220" s="7" t="s">
        <v>58</v>
      </c>
    </row>
    <row r="221" spans="1:1" x14ac:dyDescent="0.25">
      <c r="A221" s="8" t="s">
        <v>53</v>
      </c>
    </row>
    <row r="222" spans="1:1" x14ac:dyDescent="0.25">
      <c r="A222" s="7" t="s">
        <v>59</v>
      </c>
    </row>
    <row r="223" spans="1:1" x14ac:dyDescent="0.25">
      <c r="A223" s="8" t="s">
        <v>53</v>
      </c>
    </row>
    <row r="224" spans="1:1" x14ac:dyDescent="0.25">
      <c r="A224" s="7" t="s">
        <v>56</v>
      </c>
    </row>
    <row r="225" spans="1:1" x14ac:dyDescent="0.25">
      <c r="A225" s="8" t="s">
        <v>57</v>
      </c>
    </row>
    <row r="226" spans="1:1" x14ac:dyDescent="0.25">
      <c r="A226" s="7" t="s">
        <v>54</v>
      </c>
    </row>
    <row r="227" spans="1:1" x14ac:dyDescent="0.25">
      <c r="A227" s="8" t="s">
        <v>57</v>
      </c>
    </row>
    <row r="228" spans="1:1" x14ac:dyDescent="0.25">
      <c r="A228" s="7" t="s">
        <v>53</v>
      </c>
    </row>
    <row r="229" spans="1:1" x14ac:dyDescent="0.25">
      <c r="A229" s="8" t="s">
        <v>55</v>
      </c>
    </row>
    <row r="230" spans="1:1" x14ac:dyDescent="0.25">
      <c r="A230" s="7" t="s">
        <v>54</v>
      </c>
    </row>
    <row r="231" spans="1:1" x14ac:dyDescent="0.25">
      <c r="A231" s="8" t="s">
        <v>53</v>
      </c>
    </row>
    <row r="232" spans="1:1" x14ac:dyDescent="0.25">
      <c r="A232" s="7" t="s">
        <v>55</v>
      </c>
    </row>
    <row r="233" spans="1:1" x14ac:dyDescent="0.25">
      <c r="A233" s="8" t="s">
        <v>58</v>
      </c>
    </row>
    <row r="234" spans="1:1" x14ac:dyDescent="0.25">
      <c r="A234" s="7" t="s">
        <v>57</v>
      </c>
    </row>
    <row r="235" spans="1:1" x14ac:dyDescent="0.25">
      <c r="A235" s="8" t="s">
        <v>57</v>
      </c>
    </row>
    <row r="236" spans="1:1" x14ac:dyDescent="0.25">
      <c r="A236" s="7" t="s">
        <v>55</v>
      </c>
    </row>
    <row r="237" spans="1:1" x14ac:dyDescent="0.25">
      <c r="A237" s="8" t="s">
        <v>59</v>
      </c>
    </row>
    <row r="238" spans="1:1" x14ac:dyDescent="0.25">
      <c r="A238" s="7" t="s">
        <v>53</v>
      </c>
    </row>
    <row r="239" spans="1:1" x14ac:dyDescent="0.25">
      <c r="A239" s="8" t="s">
        <v>53</v>
      </c>
    </row>
    <row r="240" spans="1:1" x14ac:dyDescent="0.25">
      <c r="A240" s="7" t="s">
        <v>53</v>
      </c>
    </row>
    <row r="241" spans="1:1" x14ac:dyDescent="0.25">
      <c r="A241" s="8" t="s">
        <v>58</v>
      </c>
    </row>
    <row r="242" spans="1:1" x14ac:dyDescent="0.25">
      <c r="A242" s="7" t="s">
        <v>54</v>
      </c>
    </row>
    <row r="243" spans="1:1" x14ac:dyDescent="0.25">
      <c r="A243" s="8" t="s">
        <v>57</v>
      </c>
    </row>
    <row r="244" spans="1:1" x14ac:dyDescent="0.25">
      <c r="A244" s="7" t="s">
        <v>57</v>
      </c>
    </row>
    <row r="245" spans="1:1" x14ac:dyDescent="0.25">
      <c r="A245" s="8" t="s">
        <v>54</v>
      </c>
    </row>
    <row r="246" spans="1:1" x14ac:dyDescent="0.25">
      <c r="A246" s="7" t="s">
        <v>57</v>
      </c>
    </row>
    <row r="247" spans="1:1" x14ac:dyDescent="0.25">
      <c r="A247" s="8" t="s">
        <v>56</v>
      </c>
    </row>
    <row r="248" spans="1:1" x14ac:dyDescent="0.25">
      <c r="A248" s="7" t="s">
        <v>55</v>
      </c>
    </row>
    <row r="249" spans="1:1" x14ac:dyDescent="0.25">
      <c r="A249" s="8" t="s">
        <v>56</v>
      </c>
    </row>
    <row r="250" spans="1:1" x14ac:dyDescent="0.25">
      <c r="A250" s="7" t="s">
        <v>53</v>
      </c>
    </row>
    <row r="251" spans="1:1" x14ac:dyDescent="0.25">
      <c r="A251" s="8" t="s">
        <v>55</v>
      </c>
    </row>
    <row r="252" spans="1:1" x14ac:dyDescent="0.25">
      <c r="A252" s="7" t="s">
        <v>55</v>
      </c>
    </row>
    <row r="253" spans="1:1" x14ac:dyDescent="0.25">
      <c r="A253" s="8" t="s">
        <v>53</v>
      </c>
    </row>
    <row r="254" spans="1:1" x14ac:dyDescent="0.25">
      <c r="A254" s="7" t="s">
        <v>54</v>
      </c>
    </row>
    <row r="255" spans="1:1" x14ac:dyDescent="0.25">
      <c r="A255" s="8" t="s">
        <v>53</v>
      </c>
    </row>
    <row r="256" spans="1:1" x14ac:dyDescent="0.25">
      <c r="A256" s="7" t="s">
        <v>55</v>
      </c>
    </row>
    <row r="257" spans="1:1" x14ac:dyDescent="0.25">
      <c r="A257" s="8" t="s">
        <v>58</v>
      </c>
    </row>
    <row r="258" spans="1:1" x14ac:dyDescent="0.25">
      <c r="A258" s="7" t="s">
        <v>56</v>
      </c>
    </row>
    <row r="259" spans="1:1" x14ac:dyDescent="0.25">
      <c r="A259" s="8" t="s">
        <v>56</v>
      </c>
    </row>
    <row r="260" spans="1:1" x14ac:dyDescent="0.25">
      <c r="A260" s="7" t="s">
        <v>54</v>
      </c>
    </row>
    <row r="261" spans="1:1" x14ac:dyDescent="0.25">
      <c r="A261" s="8" t="s">
        <v>54</v>
      </c>
    </row>
    <row r="262" spans="1:1" x14ac:dyDescent="0.25">
      <c r="A262" s="7" t="s">
        <v>55</v>
      </c>
    </row>
    <row r="263" spans="1:1" x14ac:dyDescent="0.25">
      <c r="A263" s="8" t="s">
        <v>54</v>
      </c>
    </row>
    <row r="264" spans="1:1" x14ac:dyDescent="0.25">
      <c r="A264" s="7" t="s">
        <v>59</v>
      </c>
    </row>
    <row r="265" spans="1:1" x14ac:dyDescent="0.25">
      <c r="A265" s="8" t="s">
        <v>54</v>
      </c>
    </row>
    <row r="266" spans="1:1" x14ac:dyDescent="0.25">
      <c r="A266" s="7" t="s">
        <v>59</v>
      </c>
    </row>
    <row r="267" spans="1:1" x14ac:dyDescent="0.25">
      <c r="A267" s="8" t="s">
        <v>58</v>
      </c>
    </row>
    <row r="268" spans="1:1" x14ac:dyDescent="0.25">
      <c r="A268" s="7" t="s">
        <v>56</v>
      </c>
    </row>
    <row r="269" spans="1:1" x14ac:dyDescent="0.25">
      <c r="A269" s="8" t="s">
        <v>59</v>
      </c>
    </row>
    <row r="270" spans="1:1" x14ac:dyDescent="0.25">
      <c r="A270" s="7" t="s">
        <v>59</v>
      </c>
    </row>
    <row r="271" spans="1:1" x14ac:dyDescent="0.25">
      <c r="A271" s="8" t="s">
        <v>58</v>
      </c>
    </row>
    <row r="272" spans="1:1" x14ac:dyDescent="0.25">
      <c r="A272" s="7" t="s">
        <v>54</v>
      </c>
    </row>
    <row r="273" spans="1:1" x14ac:dyDescent="0.25">
      <c r="A273" s="8" t="s">
        <v>56</v>
      </c>
    </row>
    <row r="274" spans="1:1" x14ac:dyDescent="0.25">
      <c r="A274" s="7" t="s">
        <v>57</v>
      </c>
    </row>
    <row r="275" spans="1:1" x14ac:dyDescent="0.25">
      <c r="A275" s="8" t="s">
        <v>56</v>
      </c>
    </row>
    <row r="276" spans="1:1" x14ac:dyDescent="0.25">
      <c r="A276" s="7" t="s">
        <v>55</v>
      </c>
    </row>
    <row r="277" spans="1:1" x14ac:dyDescent="0.25">
      <c r="A277" s="8" t="s">
        <v>54</v>
      </c>
    </row>
    <row r="278" spans="1:1" x14ac:dyDescent="0.25">
      <c r="A278" s="7" t="s">
        <v>54</v>
      </c>
    </row>
    <row r="279" spans="1:1" x14ac:dyDescent="0.25">
      <c r="A279" s="8" t="s">
        <v>55</v>
      </c>
    </row>
    <row r="280" spans="1:1" x14ac:dyDescent="0.25">
      <c r="A280" s="7" t="s">
        <v>59</v>
      </c>
    </row>
    <row r="281" spans="1:1" x14ac:dyDescent="0.25">
      <c r="A281" s="8" t="s">
        <v>59</v>
      </c>
    </row>
    <row r="282" spans="1:1" x14ac:dyDescent="0.25">
      <c r="A282" s="7" t="s">
        <v>57</v>
      </c>
    </row>
    <row r="283" spans="1:1" x14ac:dyDescent="0.25">
      <c r="A283" s="8" t="s">
        <v>54</v>
      </c>
    </row>
    <row r="284" spans="1:1" x14ac:dyDescent="0.25">
      <c r="A284" s="7" t="s">
        <v>59</v>
      </c>
    </row>
    <row r="285" spans="1:1" x14ac:dyDescent="0.25">
      <c r="A285" s="8" t="s">
        <v>56</v>
      </c>
    </row>
    <row r="286" spans="1:1" x14ac:dyDescent="0.25">
      <c r="A286" s="7" t="s">
        <v>54</v>
      </c>
    </row>
    <row r="287" spans="1:1" x14ac:dyDescent="0.25">
      <c r="A287" s="8" t="s">
        <v>59</v>
      </c>
    </row>
    <row r="288" spans="1:1" x14ac:dyDescent="0.25">
      <c r="A288" s="7" t="s">
        <v>59</v>
      </c>
    </row>
    <row r="289" spans="1:1" x14ac:dyDescent="0.25">
      <c r="A289" s="8" t="s">
        <v>58</v>
      </c>
    </row>
    <row r="290" spans="1:1" x14ac:dyDescent="0.25">
      <c r="A290" s="7" t="s">
        <v>53</v>
      </c>
    </row>
    <row r="291" spans="1:1" x14ac:dyDescent="0.25">
      <c r="A291" s="8" t="s">
        <v>55</v>
      </c>
    </row>
    <row r="292" spans="1:1" x14ac:dyDescent="0.25">
      <c r="A292" s="7" t="s">
        <v>59</v>
      </c>
    </row>
    <row r="293" spans="1:1" x14ac:dyDescent="0.25">
      <c r="A293" s="8" t="s">
        <v>56</v>
      </c>
    </row>
    <row r="294" spans="1:1" x14ac:dyDescent="0.25">
      <c r="A294" s="7" t="s">
        <v>59</v>
      </c>
    </row>
    <row r="295" spans="1:1" x14ac:dyDescent="0.25">
      <c r="A295" s="8" t="s">
        <v>59</v>
      </c>
    </row>
    <row r="296" spans="1:1" x14ac:dyDescent="0.25">
      <c r="A296" s="7" t="s">
        <v>58</v>
      </c>
    </row>
    <row r="297" spans="1:1" x14ac:dyDescent="0.25">
      <c r="A297" s="8" t="s">
        <v>53</v>
      </c>
    </row>
    <row r="298" spans="1:1" x14ac:dyDescent="0.25">
      <c r="A298" s="7" t="s">
        <v>55</v>
      </c>
    </row>
    <row r="299" spans="1:1" x14ac:dyDescent="0.25">
      <c r="A299" s="8" t="s">
        <v>58</v>
      </c>
    </row>
    <row r="300" spans="1:1" x14ac:dyDescent="0.25">
      <c r="A300" s="7" t="s">
        <v>58</v>
      </c>
    </row>
    <row r="301" spans="1:1" x14ac:dyDescent="0.25">
      <c r="A301" s="8" t="s">
        <v>54</v>
      </c>
    </row>
    <row r="302" spans="1:1" x14ac:dyDescent="0.25">
      <c r="A302" s="7" t="s">
        <v>56</v>
      </c>
    </row>
    <row r="303" spans="1:1" x14ac:dyDescent="0.25">
      <c r="A303" s="8" t="s">
        <v>59</v>
      </c>
    </row>
    <row r="304" spans="1:1" x14ac:dyDescent="0.25">
      <c r="A304" s="7" t="s">
        <v>59</v>
      </c>
    </row>
    <row r="305" spans="1:1" x14ac:dyDescent="0.25">
      <c r="A305" s="8" t="s">
        <v>58</v>
      </c>
    </row>
    <row r="306" spans="1:1" x14ac:dyDescent="0.25">
      <c r="A306" s="7" t="s">
        <v>57</v>
      </c>
    </row>
    <row r="307" spans="1:1" x14ac:dyDescent="0.25">
      <c r="A307" s="8" t="s">
        <v>58</v>
      </c>
    </row>
    <row r="308" spans="1:1" x14ac:dyDescent="0.25">
      <c r="A308" s="7" t="s">
        <v>55</v>
      </c>
    </row>
    <row r="309" spans="1:1" x14ac:dyDescent="0.25">
      <c r="A309" s="8" t="s">
        <v>54</v>
      </c>
    </row>
    <row r="310" spans="1:1" x14ac:dyDescent="0.25">
      <c r="A310" s="7" t="s">
        <v>58</v>
      </c>
    </row>
    <row r="311" spans="1:1" x14ac:dyDescent="0.25">
      <c r="A311" s="8" t="s">
        <v>57</v>
      </c>
    </row>
    <row r="312" spans="1:1" x14ac:dyDescent="0.25">
      <c r="A312" s="7" t="s">
        <v>58</v>
      </c>
    </row>
    <row r="313" spans="1:1" x14ac:dyDescent="0.25">
      <c r="A313" s="8" t="s">
        <v>56</v>
      </c>
    </row>
    <row r="314" spans="1:1" x14ac:dyDescent="0.25">
      <c r="A314" s="7" t="s">
        <v>56</v>
      </c>
    </row>
    <row r="315" spans="1:1" x14ac:dyDescent="0.25">
      <c r="A315" s="8" t="s">
        <v>57</v>
      </c>
    </row>
    <row r="316" spans="1:1" x14ac:dyDescent="0.25">
      <c r="A316" s="7" t="s">
        <v>56</v>
      </c>
    </row>
    <row r="317" spans="1:1" x14ac:dyDescent="0.25">
      <c r="A317" s="8" t="s">
        <v>54</v>
      </c>
    </row>
    <row r="318" spans="1:1" x14ac:dyDescent="0.25">
      <c r="A318" s="7" t="s">
        <v>59</v>
      </c>
    </row>
    <row r="319" spans="1:1" x14ac:dyDescent="0.25">
      <c r="A319" s="8" t="s">
        <v>53</v>
      </c>
    </row>
    <row r="320" spans="1:1" x14ac:dyDescent="0.25">
      <c r="A320" s="7" t="s">
        <v>58</v>
      </c>
    </row>
    <row r="321" spans="1:1" x14ac:dyDescent="0.25">
      <c r="A321" s="8" t="s">
        <v>57</v>
      </c>
    </row>
    <row r="322" spans="1:1" x14ac:dyDescent="0.25">
      <c r="A322" s="7" t="s">
        <v>54</v>
      </c>
    </row>
    <row r="323" spans="1:1" x14ac:dyDescent="0.25">
      <c r="A323" s="8" t="s">
        <v>57</v>
      </c>
    </row>
    <row r="324" spans="1:1" x14ac:dyDescent="0.25">
      <c r="A324" s="7" t="s">
        <v>58</v>
      </c>
    </row>
    <row r="325" spans="1:1" x14ac:dyDescent="0.25">
      <c r="A325" s="8" t="s">
        <v>56</v>
      </c>
    </row>
    <row r="326" spans="1:1" x14ac:dyDescent="0.25">
      <c r="A326" s="7" t="s">
        <v>54</v>
      </c>
    </row>
    <row r="327" spans="1:1" x14ac:dyDescent="0.25">
      <c r="A327" s="8" t="s">
        <v>55</v>
      </c>
    </row>
    <row r="328" spans="1:1" x14ac:dyDescent="0.25">
      <c r="A328" s="7" t="s">
        <v>54</v>
      </c>
    </row>
    <row r="329" spans="1:1" x14ac:dyDescent="0.25">
      <c r="A329" s="8" t="s">
        <v>55</v>
      </c>
    </row>
    <row r="330" spans="1:1" x14ac:dyDescent="0.25">
      <c r="A330" s="7" t="s">
        <v>59</v>
      </c>
    </row>
    <row r="331" spans="1:1" x14ac:dyDescent="0.25">
      <c r="A331" s="8" t="s">
        <v>57</v>
      </c>
    </row>
    <row r="332" spans="1:1" x14ac:dyDescent="0.25">
      <c r="A332" s="7" t="s">
        <v>53</v>
      </c>
    </row>
    <row r="333" spans="1:1" x14ac:dyDescent="0.25">
      <c r="A333" s="8" t="s">
        <v>59</v>
      </c>
    </row>
    <row r="334" spans="1:1" x14ac:dyDescent="0.25">
      <c r="A334" s="7" t="s">
        <v>59</v>
      </c>
    </row>
    <row r="335" spans="1:1" x14ac:dyDescent="0.25">
      <c r="A335" s="8" t="s">
        <v>58</v>
      </c>
    </row>
    <row r="336" spans="1:1" x14ac:dyDescent="0.25">
      <c r="A336" s="7" t="s">
        <v>55</v>
      </c>
    </row>
    <row r="337" spans="1:1" x14ac:dyDescent="0.25">
      <c r="A337" s="8" t="s">
        <v>58</v>
      </c>
    </row>
    <row r="338" spans="1:1" x14ac:dyDescent="0.25">
      <c r="A338" s="7" t="s">
        <v>55</v>
      </c>
    </row>
    <row r="339" spans="1:1" x14ac:dyDescent="0.25">
      <c r="A339" s="8" t="s">
        <v>54</v>
      </c>
    </row>
    <row r="340" spans="1:1" x14ac:dyDescent="0.25">
      <c r="A340" s="7" t="s">
        <v>58</v>
      </c>
    </row>
    <row r="341" spans="1:1" x14ac:dyDescent="0.25">
      <c r="A341" s="8" t="s">
        <v>53</v>
      </c>
    </row>
    <row r="342" spans="1:1" x14ac:dyDescent="0.25">
      <c r="A342" s="7" t="s">
        <v>53</v>
      </c>
    </row>
    <row r="343" spans="1:1" x14ac:dyDescent="0.25">
      <c r="A343" s="8" t="s">
        <v>57</v>
      </c>
    </row>
    <row r="344" spans="1:1" x14ac:dyDescent="0.25">
      <c r="A344" s="7" t="s">
        <v>59</v>
      </c>
    </row>
    <row r="345" spans="1:1" x14ac:dyDescent="0.25">
      <c r="A345" s="8" t="s">
        <v>59</v>
      </c>
    </row>
    <row r="346" spans="1:1" x14ac:dyDescent="0.25">
      <c r="A346" s="7" t="s">
        <v>54</v>
      </c>
    </row>
    <row r="347" spans="1:1" x14ac:dyDescent="0.25">
      <c r="A347" s="8" t="s">
        <v>58</v>
      </c>
    </row>
    <row r="348" spans="1:1" x14ac:dyDescent="0.25">
      <c r="A348" s="7" t="s">
        <v>53</v>
      </c>
    </row>
    <row r="349" spans="1:1" x14ac:dyDescent="0.25">
      <c r="A349" s="8" t="s">
        <v>58</v>
      </c>
    </row>
    <row r="350" spans="1:1" x14ac:dyDescent="0.25">
      <c r="A350" s="7" t="s">
        <v>56</v>
      </c>
    </row>
    <row r="351" spans="1:1" x14ac:dyDescent="0.25">
      <c r="A351" s="8" t="s">
        <v>53</v>
      </c>
    </row>
    <row r="352" spans="1:1" x14ac:dyDescent="0.25">
      <c r="A352" s="7" t="s">
        <v>53</v>
      </c>
    </row>
    <row r="353" spans="1:1" x14ac:dyDescent="0.25">
      <c r="A353" s="8" t="s">
        <v>53</v>
      </c>
    </row>
    <row r="354" spans="1:1" x14ac:dyDescent="0.25">
      <c r="A354" s="7" t="s">
        <v>56</v>
      </c>
    </row>
    <row r="355" spans="1:1" x14ac:dyDescent="0.25">
      <c r="A355" s="8" t="s">
        <v>54</v>
      </c>
    </row>
    <row r="356" spans="1:1" x14ac:dyDescent="0.25">
      <c r="A356" s="7" t="s">
        <v>58</v>
      </c>
    </row>
    <row r="357" spans="1:1" x14ac:dyDescent="0.25">
      <c r="A357" s="8" t="s">
        <v>57</v>
      </c>
    </row>
    <row r="358" spans="1:1" x14ac:dyDescent="0.25">
      <c r="A358" s="7" t="s">
        <v>59</v>
      </c>
    </row>
    <row r="359" spans="1:1" x14ac:dyDescent="0.25">
      <c r="A359" s="8" t="s">
        <v>54</v>
      </c>
    </row>
    <row r="360" spans="1:1" x14ac:dyDescent="0.25">
      <c r="A360" s="7" t="s">
        <v>53</v>
      </c>
    </row>
    <row r="361" spans="1:1" x14ac:dyDescent="0.25">
      <c r="A361" s="8" t="s">
        <v>53</v>
      </c>
    </row>
    <row r="362" spans="1:1" x14ac:dyDescent="0.25">
      <c r="A362" s="7" t="s">
        <v>56</v>
      </c>
    </row>
    <row r="363" spans="1:1" x14ac:dyDescent="0.25">
      <c r="A363" s="8" t="s">
        <v>55</v>
      </c>
    </row>
    <row r="364" spans="1:1" x14ac:dyDescent="0.25">
      <c r="A364" s="7" t="s">
        <v>59</v>
      </c>
    </row>
    <row r="365" spans="1:1" x14ac:dyDescent="0.25">
      <c r="A365" s="8" t="s">
        <v>58</v>
      </c>
    </row>
    <row r="366" spans="1:1" x14ac:dyDescent="0.25">
      <c r="A366" s="7" t="s">
        <v>54</v>
      </c>
    </row>
    <row r="367" spans="1:1" x14ac:dyDescent="0.25">
      <c r="A367" s="8" t="s">
        <v>57</v>
      </c>
    </row>
    <row r="368" spans="1:1" x14ac:dyDescent="0.25">
      <c r="A368" s="7" t="s">
        <v>58</v>
      </c>
    </row>
    <row r="369" spans="1:1" x14ac:dyDescent="0.25">
      <c r="A369" s="8" t="s">
        <v>59</v>
      </c>
    </row>
    <row r="370" spans="1:1" x14ac:dyDescent="0.25">
      <c r="A370" s="7" t="s">
        <v>55</v>
      </c>
    </row>
    <row r="371" spans="1:1" x14ac:dyDescent="0.25">
      <c r="A371" s="8" t="s">
        <v>54</v>
      </c>
    </row>
    <row r="372" spans="1:1" x14ac:dyDescent="0.25">
      <c r="A372" s="7" t="s">
        <v>54</v>
      </c>
    </row>
    <row r="373" spans="1:1" x14ac:dyDescent="0.25">
      <c r="A373" s="8" t="s">
        <v>58</v>
      </c>
    </row>
    <row r="374" spans="1:1" x14ac:dyDescent="0.25">
      <c r="A374" s="7" t="s">
        <v>54</v>
      </c>
    </row>
    <row r="375" spans="1:1" x14ac:dyDescent="0.25">
      <c r="A375" s="8" t="s">
        <v>53</v>
      </c>
    </row>
    <row r="376" spans="1:1" x14ac:dyDescent="0.25">
      <c r="A376" s="7" t="s">
        <v>55</v>
      </c>
    </row>
    <row r="377" spans="1:1" x14ac:dyDescent="0.25">
      <c r="A377" s="8" t="s">
        <v>56</v>
      </c>
    </row>
    <row r="378" spans="1:1" x14ac:dyDescent="0.25">
      <c r="A378" s="7" t="s">
        <v>54</v>
      </c>
    </row>
    <row r="379" spans="1:1" x14ac:dyDescent="0.25">
      <c r="A379" s="8" t="s">
        <v>53</v>
      </c>
    </row>
    <row r="380" spans="1:1" x14ac:dyDescent="0.25">
      <c r="A380" s="7" t="s">
        <v>54</v>
      </c>
    </row>
    <row r="381" spans="1:1" x14ac:dyDescent="0.25">
      <c r="A381" s="8" t="s">
        <v>57</v>
      </c>
    </row>
    <row r="382" spans="1:1" x14ac:dyDescent="0.25">
      <c r="A382" s="7" t="s">
        <v>57</v>
      </c>
    </row>
    <row r="383" spans="1:1" x14ac:dyDescent="0.25">
      <c r="A383" s="8" t="s">
        <v>57</v>
      </c>
    </row>
    <row r="384" spans="1:1" x14ac:dyDescent="0.25">
      <c r="A384" s="7" t="s">
        <v>57</v>
      </c>
    </row>
    <row r="385" spans="1:1" x14ac:dyDescent="0.25">
      <c r="A385" s="8" t="s">
        <v>57</v>
      </c>
    </row>
    <row r="386" spans="1:1" x14ac:dyDescent="0.25">
      <c r="A386" s="7" t="s">
        <v>58</v>
      </c>
    </row>
    <row r="387" spans="1:1" x14ac:dyDescent="0.25">
      <c r="A387" s="8" t="s">
        <v>59</v>
      </c>
    </row>
    <row r="388" spans="1:1" x14ac:dyDescent="0.25">
      <c r="A388" s="7" t="s">
        <v>58</v>
      </c>
    </row>
    <row r="389" spans="1:1" x14ac:dyDescent="0.25">
      <c r="A389" s="8" t="s">
        <v>58</v>
      </c>
    </row>
    <row r="390" spans="1:1" x14ac:dyDescent="0.25">
      <c r="A390" s="7" t="s">
        <v>53</v>
      </c>
    </row>
    <row r="391" spans="1:1" x14ac:dyDescent="0.25">
      <c r="A391" s="8" t="s">
        <v>55</v>
      </c>
    </row>
    <row r="392" spans="1:1" x14ac:dyDescent="0.25">
      <c r="A392" s="7" t="s">
        <v>57</v>
      </c>
    </row>
    <row r="393" spans="1:1" x14ac:dyDescent="0.25">
      <c r="A393" s="8" t="s">
        <v>58</v>
      </c>
    </row>
    <row r="394" spans="1:1" x14ac:dyDescent="0.25">
      <c r="A394" s="7" t="s">
        <v>53</v>
      </c>
    </row>
    <row r="395" spans="1:1" x14ac:dyDescent="0.25">
      <c r="A395" s="8" t="s">
        <v>59</v>
      </c>
    </row>
    <row r="396" spans="1:1" x14ac:dyDescent="0.25">
      <c r="A396" s="7" t="s">
        <v>57</v>
      </c>
    </row>
    <row r="397" spans="1:1" x14ac:dyDescent="0.25">
      <c r="A397" s="8" t="s">
        <v>55</v>
      </c>
    </row>
    <row r="398" spans="1:1" x14ac:dyDescent="0.25">
      <c r="A398" s="7" t="s">
        <v>59</v>
      </c>
    </row>
    <row r="399" spans="1:1" x14ac:dyDescent="0.25">
      <c r="A399" s="8" t="s">
        <v>55</v>
      </c>
    </row>
    <row r="400" spans="1:1" x14ac:dyDescent="0.25">
      <c r="A400" s="7" t="s">
        <v>54</v>
      </c>
    </row>
    <row r="401" spans="1:1" x14ac:dyDescent="0.25">
      <c r="A401" s="8" t="s">
        <v>54</v>
      </c>
    </row>
    <row r="402" spans="1:1" x14ac:dyDescent="0.25">
      <c r="A402" s="7" t="s">
        <v>59</v>
      </c>
    </row>
    <row r="403" spans="1:1" x14ac:dyDescent="0.25">
      <c r="A403" s="8" t="s">
        <v>54</v>
      </c>
    </row>
    <row r="404" spans="1:1" x14ac:dyDescent="0.25">
      <c r="A404" s="8" t="s">
        <v>60</v>
      </c>
    </row>
    <row r="405" spans="1:1" x14ac:dyDescent="0.25">
      <c r="A405" s="8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Q20"/>
  <sheetViews>
    <sheetView workbookViewId="0">
      <selection activeCell="L14" sqref="L14"/>
    </sheetView>
  </sheetViews>
  <sheetFormatPr defaultRowHeight="15" x14ac:dyDescent="0.25"/>
  <cols>
    <col min="12" max="12" width="12.28515625" bestFit="1" customWidth="1"/>
  </cols>
  <sheetData>
    <row r="1" spans="2:17" x14ac:dyDescent="0.25">
      <c r="B1" t="s">
        <v>62</v>
      </c>
      <c r="D1" t="s">
        <v>63</v>
      </c>
      <c r="E1" t="s">
        <v>64</v>
      </c>
      <c r="F1" t="s">
        <v>65</v>
      </c>
      <c r="G1" t="s">
        <v>58</v>
      </c>
    </row>
    <row r="2" spans="2:17" x14ac:dyDescent="0.25">
      <c r="B2" t="s">
        <v>66</v>
      </c>
      <c r="D2">
        <v>82</v>
      </c>
      <c r="E2">
        <v>68</v>
      </c>
      <c r="F2">
        <v>39</v>
      </c>
      <c r="G2">
        <v>54</v>
      </c>
    </row>
    <row r="3" spans="2:17" x14ac:dyDescent="0.25">
      <c r="D3">
        <v>74</v>
      </c>
      <c r="E3">
        <v>67</v>
      </c>
      <c r="F3">
        <v>27</v>
      </c>
      <c r="G3">
        <v>67</v>
      </c>
      <c r="L3" t="s">
        <v>70</v>
      </c>
      <c r="N3" t="s">
        <v>63</v>
      </c>
      <c r="O3" t="s">
        <v>64</v>
      </c>
      <c r="P3" t="s">
        <v>65</v>
      </c>
      <c r="Q3" t="s">
        <v>58</v>
      </c>
    </row>
    <row r="4" spans="2:17" x14ac:dyDescent="0.25">
      <c r="D4">
        <v>93</v>
      </c>
      <c r="E4">
        <v>77</v>
      </c>
      <c r="F4">
        <v>35</v>
      </c>
      <c r="G4">
        <v>93</v>
      </c>
      <c r="L4" t="s">
        <v>67</v>
      </c>
      <c r="N4">
        <f t="array" aca="1" ref="N4:Q7" ca="1">OFFSET(INDEX($B$2:$B$17,MATCH($L$4,$B$2:$B$17,0)),0,2,4,4)</f>
        <v>75</v>
      </c>
      <c r="O4">
        <f ca="1"/>
        <v>39</v>
      </c>
      <c r="P4">
        <f ca="1"/>
        <v>80</v>
      </c>
      <c r="Q4">
        <f ca="1"/>
        <v>99</v>
      </c>
    </row>
    <row r="5" spans="2:17" x14ac:dyDescent="0.25">
      <c r="D5">
        <v>83</v>
      </c>
      <c r="E5">
        <v>70</v>
      </c>
      <c r="F5">
        <v>58</v>
      </c>
      <c r="G5">
        <v>45</v>
      </c>
      <c r="N5">
        <f ca="1"/>
        <v>58</v>
      </c>
      <c r="O5">
        <f ca="1"/>
        <v>70</v>
      </c>
      <c r="P5">
        <f ca="1"/>
        <v>69</v>
      </c>
      <c r="Q5">
        <f ca="1"/>
        <v>33</v>
      </c>
    </row>
    <row r="6" spans="2:17" x14ac:dyDescent="0.25">
      <c r="N6">
        <f ca="1"/>
        <v>24</v>
      </c>
      <c r="O6">
        <f ca="1"/>
        <v>31</v>
      </c>
      <c r="P6">
        <f ca="1"/>
        <v>75</v>
      </c>
      <c r="Q6">
        <f ca="1"/>
        <v>36</v>
      </c>
    </row>
    <row r="7" spans="2:17" x14ac:dyDescent="0.25">
      <c r="B7" t="s">
        <v>67</v>
      </c>
      <c r="D7">
        <v>75</v>
      </c>
      <c r="E7">
        <v>39</v>
      </c>
      <c r="F7">
        <v>80</v>
      </c>
      <c r="G7">
        <v>99</v>
      </c>
      <c r="N7">
        <f ca="1"/>
        <v>87</v>
      </c>
      <c r="O7">
        <f ca="1"/>
        <v>65</v>
      </c>
      <c r="P7">
        <f ca="1"/>
        <v>34</v>
      </c>
      <c r="Q7">
        <f ca="1"/>
        <v>78</v>
      </c>
    </row>
    <row r="8" spans="2:17" x14ac:dyDescent="0.25">
      <c r="D8">
        <v>58</v>
      </c>
      <c r="E8">
        <v>70</v>
      </c>
      <c r="F8">
        <v>69</v>
      </c>
      <c r="G8">
        <v>33</v>
      </c>
    </row>
    <row r="9" spans="2:17" x14ac:dyDescent="0.25">
      <c r="D9">
        <v>24</v>
      </c>
      <c r="E9">
        <v>31</v>
      </c>
      <c r="F9">
        <v>75</v>
      </c>
      <c r="G9">
        <v>36</v>
      </c>
    </row>
    <row r="10" spans="2:17" x14ac:dyDescent="0.25">
      <c r="D10">
        <v>87</v>
      </c>
      <c r="E10">
        <v>65</v>
      </c>
      <c r="F10">
        <v>34</v>
      </c>
      <c r="G10">
        <v>78</v>
      </c>
    </row>
    <row r="12" spans="2:17" x14ac:dyDescent="0.25">
      <c r="B12" t="s">
        <v>68</v>
      </c>
      <c r="D12">
        <v>77</v>
      </c>
      <c r="E12">
        <v>83</v>
      </c>
      <c r="F12">
        <v>33</v>
      </c>
      <c r="G12">
        <v>36</v>
      </c>
    </row>
    <row r="13" spans="2:17" x14ac:dyDescent="0.25">
      <c r="D13">
        <v>79</v>
      </c>
      <c r="E13">
        <v>79</v>
      </c>
      <c r="F13">
        <v>26</v>
      </c>
      <c r="G13">
        <v>94</v>
      </c>
      <c r="K13" t="str">
        <f>INDEX($B$2:$B$17,MATCH($L$4,$B$2:$B$17,0))</f>
        <v>Dravid</v>
      </c>
    </row>
    <row r="14" spans="2:17" x14ac:dyDescent="0.25">
      <c r="D14">
        <v>20</v>
      </c>
      <c r="E14">
        <v>87</v>
      </c>
      <c r="F14">
        <v>98</v>
      </c>
      <c r="G14">
        <v>86</v>
      </c>
    </row>
    <row r="15" spans="2:17" x14ac:dyDescent="0.25">
      <c r="D15">
        <v>80</v>
      </c>
      <c r="E15">
        <v>48</v>
      </c>
      <c r="F15">
        <v>80</v>
      </c>
      <c r="G15">
        <v>37</v>
      </c>
    </row>
    <row r="17" spans="2:7" x14ac:dyDescent="0.25">
      <c r="B17" t="s">
        <v>69</v>
      </c>
      <c r="D17">
        <v>89</v>
      </c>
      <c r="E17">
        <v>24</v>
      </c>
      <c r="F17">
        <v>100</v>
      </c>
      <c r="G17">
        <v>41</v>
      </c>
    </row>
    <row r="18" spans="2:7" x14ac:dyDescent="0.25">
      <c r="D18">
        <v>94</v>
      </c>
      <c r="E18">
        <v>90</v>
      </c>
      <c r="F18">
        <v>22</v>
      </c>
      <c r="G18">
        <v>31</v>
      </c>
    </row>
    <row r="19" spans="2:7" x14ac:dyDescent="0.25">
      <c r="D19">
        <v>27</v>
      </c>
      <c r="E19">
        <v>70</v>
      </c>
      <c r="F19">
        <v>47</v>
      </c>
      <c r="G19">
        <v>40</v>
      </c>
    </row>
    <row r="20" spans="2:7" x14ac:dyDescent="0.25">
      <c r="D20">
        <v>34</v>
      </c>
      <c r="E20">
        <v>56</v>
      </c>
      <c r="F20">
        <v>91</v>
      </c>
      <c r="G20">
        <v>68</v>
      </c>
    </row>
  </sheetData>
  <dataValidations count="1">
    <dataValidation type="list" allowBlank="1" showInputMessage="1" showErrorMessage="1" sqref="L4">
      <formula1>"Sachin,Dravid,Ganguly,Dhoni"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4"/>
  <sheetViews>
    <sheetView workbookViewId="0">
      <selection activeCell="H14" sqref="H14"/>
    </sheetView>
  </sheetViews>
  <sheetFormatPr defaultRowHeight="15" x14ac:dyDescent="0.25"/>
  <sheetData>
    <row r="1" spans="1:14" x14ac:dyDescent="0.25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85</v>
      </c>
    </row>
    <row r="2" spans="1:14" x14ac:dyDescent="0.25">
      <c r="A2" t="s">
        <v>84</v>
      </c>
      <c r="B2">
        <v>2.5</v>
      </c>
      <c r="C2">
        <v>3</v>
      </c>
      <c r="D2">
        <v>3.5</v>
      </c>
      <c r="E2">
        <v>2</v>
      </c>
      <c r="F2">
        <v>3</v>
      </c>
      <c r="G2">
        <v>4</v>
      </c>
      <c r="H2">
        <v>5</v>
      </c>
      <c r="I2">
        <v>4</v>
      </c>
      <c r="J2">
        <v>0</v>
      </c>
      <c r="K2">
        <v>4</v>
      </c>
      <c r="N2">
        <f ca="1">AVERAGE(OFFSET($A$2,0,COUNTA($B$2:$M$2)-5,1,6))</f>
        <v>3.3333333333333335</v>
      </c>
    </row>
    <row r="8" spans="1:14" x14ac:dyDescent="0.25">
      <c r="I8">
        <f ca="1">AVERAGE(OFFSET($A$2,0,COUNTA($B$2:$M$2)-2,1,4))</f>
        <v>2.6666666666666665</v>
      </c>
    </row>
    <row r="13" spans="1:14" x14ac:dyDescent="0.25">
      <c r="H13" s="2">
        <f ca="1">AVERAGE(OFFSET($A$2,0,COUNTA($B$2:$M$2)-5,1,6))</f>
        <v>3.3333333333333335</v>
      </c>
    </row>
    <row r="14" spans="1:14" x14ac:dyDescent="0.25">
      <c r="H14">
        <f ca="1">AVERAGE(OFFSET($A$2,0,COLUMN()-7,1,6))</f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4"/>
  <sheetViews>
    <sheetView workbookViewId="0">
      <selection activeCell="G10" sqref="G10"/>
    </sheetView>
  </sheetViews>
  <sheetFormatPr defaultRowHeight="15" x14ac:dyDescent="0.25"/>
  <cols>
    <col min="8" max="8" width="11.140625" bestFit="1" customWidth="1"/>
  </cols>
  <sheetData>
    <row r="1" spans="1:10" x14ac:dyDescent="0.25">
      <c r="A1" t="s">
        <v>86</v>
      </c>
      <c r="B1" t="s">
        <v>87</v>
      </c>
    </row>
    <row r="2" spans="1:10" x14ac:dyDescent="0.25">
      <c r="A2" t="s">
        <v>88</v>
      </c>
      <c r="B2">
        <v>34</v>
      </c>
    </row>
    <row r="3" spans="1:10" x14ac:dyDescent="0.25">
      <c r="A3" t="s">
        <v>89</v>
      </c>
      <c r="B3">
        <v>51</v>
      </c>
    </row>
    <row r="4" spans="1:10" x14ac:dyDescent="0.25">
      <c r="A4" t="s">
        <v>90</v>
      </c>
      <c r="B4">
        <v>12</v>
      </c>
    </row>
    <row r="5" spans="1:10" x14ac:dyDescent="0.25">
      <c r="A5" t="s">
        <v>88</v>
      </c>
      <c r="B5">
        <v>123</v>
      </c>
      <c r="H5" s="20" t="s">
        <v>91</v>
      </c>
      <c r="I5" s="20"/>
      <c r="J5" s="10"/>
    </row>
    <row r="6" spans="1:10" x14ac:dyDescent="0.25">
      <c r="A6" t="s">
        <v>88</v>
      </c>
      <c r="B6">
        <v>43</v>
      </c>
      <c r="H6" t="s">
        <v>92</v>
      </c>
      <c r="I6" s="9" t="s">
        <v>87</v>
      </c>
    </row>
    <row r="7" spans="1:10" x14ac:dyDescent="0.25">
      <c r="A7" t="s">
        <v>88</v>
      </c>
      <c r="B7">
        <v>53</v>
      </c>
      <c r="H7" t="s">
        <v>88</v>
      </c>
      <c r="I7">
        <f t="array" aca="1" ref="I7" ca="1">OFFSET($B$1,LARGE(IF($A:$A=H7,ROW($B:$B),""),1)-1,0)</f>
        <v>45</v>
      </c>
    </row>
    <row r="8" spans="1:10" x14ac:dyDescent="0.25">
      <c r="A8" t="s">
        <v>88</v>
      </c>
      <c r="B8">
        <v>21</v>
      </c>
      <c r="H8" t="s">
        <v>89</v>
      </c>
      <c r="I8">
        <f t="array" aca="1" ref="I8" ca="1">OFFSET($B$1,LARGE(IF($A:$A=H8,ROW($B:$B),""),1)-1,0)</f>
        <v>60</v>
      </c>
    </row>
    <row r="9" spans="1:10" x14ac:dyDescent="0.25">
      <c r="A9" t="s">
        <v>89</v>
      </c>
      <c r="B9">
        <v>34</v>
      </c>
      <c r="H9" t="s">
        <v>90</v>
      </c>
      <c r="I9">
        <f t="array" aca="1" ref="I9" ca="1">OFFSET($B$1,LARGE(IF($A:$A=H9,ROW($B:$B),""),1)-1,0)</f>
        <v>57</v>
      </c>
    </row>
    <row r="10" spans="1:10" x14ac:dyDescent="0.25">
      <c r="A10" t="s">
        <v>90</v>
      </c>
      <c r="B10">
        <v>46</v>
      </c>
    </row>
    <row r="11" spans="1:10" x14ac:dyDescent="0.25">
      <c r="A11" t="s">
        <v>90</v>
      </c>
      <c r="B11">
        <v>57</v>
      </c>
      <c r="F11">
        <f t="array" ref="F11">LARGE(IF($A:$A=H7,ROW($B:$B),""),1)</f>
        <v>14</v>
      </c>
    </row>
    <row r="12" spans="1:10" x14ac:dyDescent="0.25">
      <c r="A12" t="s">
        <v>89</v>
      </c>
      <c r="B12">
        <v>58</v>
      </c>
      <c r="F12">
        <f t="array" ref="F12">LARGE(IF($A:$A=H8,ROW($B:$B),""),1)</f>
        <v>13</v>
      </c>
    </row>
    <row r="13" spans="1:10" x14ac:dyDescent="0.25">
      <c r="A13" t="s">
        <v>89</v>
      </c>
      <c r="B13">
        <v>60</v>
      </c>
      <c r="F13">
        <f t="array" ref="F13">LARGE(IF($A:$A=H9,ROW($B:$B),""),1)</f>
        <v>11</v>
      </c>
      <c r="H13">
        <f t="array" ref="H13">LARGE(IF($A:$A=H7,ROW($B:$B),""),1)</f>
        <v>14</v>
      </c>
    </row>
    <row r="14" spans="1:10" x14ac:dyDescent="0.25">
      <c r="A14" t="s">
        <v>88</v>
      </c>
      <c r="B14">
        <v>45</v>
      </c>
    </row>
  </sheetData>
  <mergeCells count="1">
    <mergeCell ref="H5:I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8"/>
  <sheetViews>
    <sheetView tabSelected="1" workbookViewId="0">
      <selection activeCell="I6" sqref="I6"/>
    </sheetView>
  </sheetViews>
  <sheetFormatPr defaultRowHeight="15" x14ac:dyDescent="0.25"/>
  <cols>
    <col min="7" max="7" width="10.5703125" bestFit="1" customWidth="1"/>
  </cols>
  <sheetData>
    <row r="1" spans="1:9" ht="15.75" thickBot="1" x14ac:dyDescent="0.3">
      <c r="A1" s="21" t="s">
        <v>18</v>
      </c>
      <c r="B1" s="22" t="s">
        <v>93</v>
      </c>
      <c r="C1" s="23" t="s">
        <v>94</v>
      </c>
    </row>
    <row r="2" spans="1:9" x14ac:dyDescent="0.25">
      <c r="A2" s="24">
        <v>111</v>
      </c>
      <c r="B2" s="25" t="s">
        <v>95</v>
      </c>
      <c r="C2" s="26">
        <v>21412</v>
      </c>
    </row>
    <row r="3" spans="1:9" x14ac:dyDescent="0.25">
      <c r="A3" s="27">
        <f>A2+111</f>
        <v>222</v>
      </c>
      <c r="B3" s="28" t="s">
        <v>96</v>
      </c>
      <c r="C3" s="29">
        <v>46143</v>
      </c>
    </row>
    <row r="4" spans="1:9" x14ac:dyDescent="0.25">
      <c r="A4" s="27">
        <f t="shared" ref="A4:A9" si="0">A3+111</f>
        <v>333</v>
      </c>
      <c r="B4" s="28" t="s">
        <v>97</v>
      </c>
      <c r="C4" s="29">
        <v>31136</v>
      </c>
    </row>
    <row r="5" spans="1:9" x14ac:dyDescent="0.25">
      <c r="A5" s="27">
        <f t="shared" si="0"/>
        <v>444</v>
      </c>
      <c r="B5" s="28" t="s">
        <v>98</v>
      </c>
      <c r="C5" s="29">
        <v>46277</v>
      </c>
    </row>
    <row r="6" spans="1:9" x14ac:dyDescent="0.25">
      <c r="A6" s="27">
        <f t="shared" si="0"/>
        <v>555</v>
      </c>
      <c r="B6" s="28" t="s">
        <v>99</v>
      </c>
      <c r="C6" s="29">
        <v>45954</v>
      </c>
    </row>
    <row r="7" spans="1:9" x14ac:dyDescent="0.25">
      <c r="A7" s="27">
        <f t="shared" si="0"/>
        <v>666</v>
      </c>
      <c r="B7" s="28" t="s">
        <v>100</v>
      </c>
      <c r="C7" s="29">
        <v>46290</v>
      </c>
    </row>
    <row r="8" spans="1:9" x14ac:dyDescent="0.25">
      <c r="A8" s="27">
        <f t="shared" si="0"/>
        <v>777</v>
      </c>
      <c r="B8" s="28" t="s">
        <v>101</v>
      </c>
      <c r="C8" s="29">
        <v>25822</v>
      </c>
    </row>
    <row r="9" spans="1:9" ht="15.75" thickBot="1" x14ac:dyDescent="0.3">
      <c r="A9" s="30">
        <f t="shared" si="0"/>
        <v>888</v>
      </c>
      <c r="B9" s="31" t="s">
        <v>102</v>
      </c>
      <c r="C9" s="32">
        <v>36364</v>
      </c>
    </row>
    <row r="10" spans="1:9" ht="15.75" thickBot="1" x14ac:dyDescent="0.3">
      <c r="G10" s="21" t="s">
        <v>93</v>
      </c>
      <c r="H10" s="34" t="s">
        <v>18</v>
      </c>
      <c r="I10" s="33" t="s">
        <v>94</v>
      </c>
    </row>
    <row r="11" spans="1:9" x14ac:dyDescent="0.25">
      <c r="G11" s="24" t="s">
        <v>95</v>
      </c>
      <c r="H11" s="28">
        <f ca="1">OFFSET($A$1,MATCH(G11,$B$2:$B$9,0),0)</f>
        <v>111</v>
      </c>
      <c r="I11" s="28">
        <f ca="1">OFFSET($A$1,MATCH(G11,$B$2:$B$9,0),2)</f>
        <v>21412</v>
      </c>
    </row>
    <row r="12" spans="1:9" x14ac:dyDescent="0.25">
      <c r="G12" s="27" t="s">
        <v>96</v>
      </c>
      <c r="H12" s="28">
        <f t="shared" ref="H12:H18" ca="1" si="1">OFFSET($A$1,MATCH(G12,$B$2:$B$9,0),0)</f>
        <v>222</v>
      </c>
      <c r="I12" s="28">
        <f t="shared" ref="I12:I18" ca="1" si="2">OFFSET($A$1,MATCH(G12,$B$2:$B$9,0),2)</f>
        <v>46143</v>
      </c>
    </row>
    <row r="13" spans="1:9" x14ac:dyDescent="0.25">
      <c r="G13" s="27" t="s">
        <v>97</v>
      </c>
      <c r="H13" s="28">
        <f t="shared" ca="1" si="1"/>
        <v>333</v>
      </c>
      <c r="I13" s="28">
        <f t="shared" ca="1" si="2"/>
        <v>31136</v>
      </c>
    </row>
    <row r="14" spans="1:9" x14ac:dyDescent="0.25">
      <c r="G14" s="27" t="s">
        <v>98</v>
      </c>
      <c r="H14" s="28">
        <f t="shared" ca="1" si="1"/>
        <v>444</v>
      </c>
      <c r="I14" s="28">
        <f t="shared" ca="1" si="2"/>
        <v>46277</v>
      </c>
    </row>
    <row r="15" spans="1:9" x14ac:dyDescent="0.25">
      <c r="G15" s="27" t="s">
        <v>99</v>
      </c>
      <c r="H15" s="28">
        <f t="shared" ca="1" si="1"/>
        <v>555</v>
      </c>
      <c r="I15" s="28">
        <f t="shared" ca="1" si="2"/>
        <v>45954</v>
      </c>
    </row>
    <row r="16" spans="1:9" x14ac:dyDescent="0.25">
      <c r="G16" s="27" t="s">
        <v>100</v>
      </c>
      <c r="H16" s="28">
        <f t="shared" ca="1" si="1"/>
        <v>666</v>
      </c>
      <c r="I16" s="28">
        <f t="shared" ca="1" si="2"/>
        <v>46290</v>
      </c>
    </row>
    <row r="17" spans="7:9" x14ac:dyDescent="0.25">
      <c r="G17" s="27" t="s">
        <v>101</v>
      </c>
      <c r="H17" s="28">
        <f t="shared" ca="1" si="1"/>
        <v>777</v>
      </c>
      <c r="I17" s="28">
        <f t="shared" ca="1" si="2"/>
        <v>25822</v>
      </c>
    </row>
    <row r="18" spans="7:9" ht="15.75" thickBot="1" x14ac:dyDescent="0.3">
      <c r="G18" s="30" t="s">
        <v>102</v>
      </c>
      <c r="H18" s="28">
        <f t="shared" ca="1" si="1"/>
        <v>888</v>
      </c>
      <c r="I18" s="28">
        <f t="shared" ca="1" si="2"/>
        <v>36364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Offset</vt:lpstr>
      <vt:lpstr>OFFSET-1</vt:lpstr>
      <vt:lpstr>Offset-2</vt:lpstr>
      <vt:lpstr>Offset-3</vt:lpstr>
      <vt:lpstr>Offset-4</vt:lpstr>
      <vt:lpstr>Offset-5</vt:lpstr>
      <vt:lpstr>Offset-6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Bansal</dc:creator>
  <cp:lastModifiedBy>Sumit</cp:lastModifiedBy>
  <dcterms:created xsi:type="dcterms:W3CDTF">2014-02-06T09:01:54Z</dcterms:created>
  <dcterms:modified xsi:type="dcterms:W3CDTF">2016-07-15T11:39:39Z</dcterms:modified>
</cp:coreProperties>
</file>