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actice me on Excel\Interview Prepration\Countif and Sumif Practice\"/>
    </mc:Choice>
  </mc:AlternateContent>
  <xr:revisionPtr revIDLastSave="0" documentId="13_ncr:1_{78731C97-6355-4197-92BB-393DE8553DDE}" xr6:coauthVersionLast="47" xr6:coauthVersionMax="47" xr10:uidLastSave="{00000000-0000-0000-0000-000000000000}"/>
  <bookViews>
    <workbookView xWindow="-103" yWindow="-103" windowWidth="22149" windowHeight="1320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definedNames>
    <definedName name="_xlnm._FilterDatabase" localSheetId="3" hidden="1">Sheet4!$A$1:$B$222</definedName>
    <definedName name="_xlnm._FilterDatabase" localSheetId="7" hidden="1">Sheet8!$A$1:$F$52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1" l="1"/>
  <c r="K10" i="8" a="1"/>
  <c r="K10" i="8" s="1"/>
  <c r="K9" i="8" a="1"/>
  <c r="K9" i="8" s="1"/>
  <c r="C3" i="6"/>
  <c r="H3" i="4"/>
  <c r="H4" i="4"/>
  <c r="H5" i="4"/>
  <c r="H6" i="4"/>
  <c r="H2" i="4"/>
  <c r="J22" i="4"/>
  <c r="J21" i="4"/>
  <c r="J20" i="4"/>
  <c r="D3" i="3"/>
  <c r="D4" i="3"/>
  <c r="D5" i="3"/>
  <c r="D6" i="3"/>
  <c r="D2" i="3"/>
  <c r="G5" i="2"/>
  <c r="G6" i="2"/>
  <c r="G7" i="2"/>
  <c r="G4" i="2"/>
  <c r="F4" i="2"/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" i="10"/>
  <c r="AF5" i="9" l="1"/>
  <c r="AE5" i="9"/>
  <c r="AD5" i="9"/>
  <c r="AC5" i="9"/>
  <c r="AA5" i="9"/>
  <c r="Z5" i="9"/>
  <c r="X5" i="9"/>
  <c r="Y5" i="9"/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7" i="8"/>
  <c r="G48" i="8"/>
  <c r="G49" i="8"/>
  <c r="G50" i="8"/>
  <c r="G51" i="8"/>
  <c r="G52" i="8"/>
  <c r="G2" i="8"/>
  <c r="J10" i="8" a="1"/>
  <c r="J10" i="8" s="1"/>
  <c r="J9" i="8" a="1"/>
  <c r="J9" i="8" s="1"/>
  <c r="S3" i="7" a="1"/>
  <c r="S3" i="7" s="1"/>
  <c r="S4" i="7" a="1"/>
  <c r="S4" i="7" s="1"/>
  <c r="S5" i="7" a="1"/>
  <c r="S5" i="7" s="1"/>
  <c r="S2" i="7" a="1"/>
  <c r="S2" i="7" s="1"/>
  <c r="J3" i="6" l="1" a="1"/>
  <c r="J3" i="6" s="1"/>
  <c r="G4" i="6"/>
  <c r="G3" i="6"/>
  <c r="B3" i="6"/>
  <c r="D8" i="5" a="1"/>
  <c r="D8" i="5" s="1"/>
  <c r="G3" i="4" l="1"/>
  <c r="G4" i="4"/>
  <c r="G5" i="4"/>
  <c r="G6" i="4"/>
  <c r="G2" i="4"/>
  <c r="G7" i="4" s="1"/>
  <c r="B3" i="3" l="1"/>
  <c r="B4" i="3"/>
  <c r="B5" i="3"/>
  <c r="B6" i="3"/>
  <c r="B2" i="3"/>
  <c r="G85" i="2" l="1"/>
  <c r="G86" i="2"/>
  <c r="G84" i="2"/>
  <c r="C64" i="2"/>
  <c r="C65" i="2"/>
  <c r="C66" i="2"/>
  <c r="C67" i="2"/>
  <c r="C68" i="2"/>
  <c r="C69" i="2"/>
  <c r="C70" i="2"/>
  <c r="C71" i="2"/>
  <c r="C63" i="2"/>
  <c r="B64" i="2"/>
  <c r="B65" i="2"/>
  <c r="B66" i="2"/>
  <c r="B67" i="2"/>
  <c r="B68" i="2"/>
  <c r="B69" i="2"/>
  <c r="B70" i="2"/>
  <c r="B71" i="2"/>
  <c r="B63" i="2"/>
  <c r="E63" i="2" s="1"/>
  <c r="D49" i="2"/>
  <c r="D48" i="2"/>
  <c r="D47" i="2"/>
  <c r="D41" i="2"/>
  <c r="D40" i="2"/>
  <c r="D39" i="2"/>
  <c r="D25" i="2"/>
  <c r="D26" i="2"/>
  <c r="D27" i="2"/>
  <c r="D28" i="2"/>
  <c r="D29" i="2"/>
  <c r="D30" i="2"/>
  <c r="D31" i="2"/>
  <c r="D32" i="2"/>
  <c r="D33" i="2"/>
  <c r="H14" i="2"/>
  <c r="H15" i="2"/>
  <c r="H13" i="2"/>
  <c r="F5" i="2"/>
  <c r="F6" i="2"/>
  <c r="F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<sst xmlns="http://schemas.openxmlformats.org/spreadsheetml/2006/main" count="1331" uniqueCount="770">
  <si>
    <t>Color</t>
  </si>
  <si>
    <t xml:space="preserve">red </t>
  </si>
  <si>
    <t>blue</t>
  </si>
  <si>
    <t>green</t>
  </si>
  <si>
    <t>Qty</t>
  </si>
  <si>
    <t>Date</t>
  </si>
  <si>
    <t>Cars</t>
  </si>
  <si>
    <t>Model</t>
  </si>
  <si>
    <t>Price</t>
  </si>
  <si>
    <t>color</t>
  </si>
  <si>
    <t>Mileage</t>
  </si>
  <si>
    <t>Audi A3</t>
  </si>
  <si>
    <t>Audi A5</t>
  </si>
  <si>
    <t>BMW 325</t>
  </si>
  <si>
    <t>Peugeot 205</t>
  </si>
  <si>
    <t>Seat Cordoba</t>
  </si>
  <si>
    <t>Volvo 850</t>
  </si>
  <si>
    <t xml:space="preserve">Red </t>
  </si>
  <si>
    <t>Blue</t>
  </si>
  <si>
    <t>Green</t>
  </si>
  <si>
    <t>Black</t>
  </si>
  <si>
    <t>Name</t>
  </si>
  <si>
    <t>jim</t>
  </si>
  <si>
    <t>aya</t>
  </si>
  <si>
    <t>sally</t>
  </si>
  <si>
    <t>Charles</t>
  </si>
  <si>
    <t>Terry</t>
  </si>
  <si>
    <t>joe</t>
  </si>
  <si>
    <t>Sarahi</t>
  </si>
  <si>
    <t>Year</t>
  </si>
  <si>
    <t>count cell between Dates</t>
  </si>
  <si>
    <t>Order</t>
  </si>
  <si>
    <t>Customer</t>
  </si>
  <si>
    <t>Status</t>
  </si>
  <si>
    <t>Total</t>
  </si>
  <si>
    <t>Bob John</t>
  </si>
  <si>
    <t>Ayako Tanaka</t>
  </si>
  <si>
    <t>Po Quant</t>
  </si>
  <si>
    <t>Sue Brown</t>
  </si>
  <si>
    <t>Andy Garcia</t>
  </si>
  <si>
    <t>Sean Parker</t>
  </si>
  <si>
    <t>Tan</t>
  </si>
  <si>
    <t>Ranee</t>
  </si>
  <si>
    <t>Completed</t>
  </si>
  <si>
    <t>Canceled</t>
  </si>
  <si>
    <t>Pending</t>
  </si>
  <si>
    <t>Completed OR Pending</t>
  </si>
  <si>
    <t>crow</t>
  </si>
  <si>
    <t>Mouse</t>
  </si>
  <si>
    <t>Lizad</t>
  </si>
  <si>
    <t>bear</t>
  </si>
  <si>
    <t>fish</t>
  </si>
  <si>
    <t>monkey</t>
  </si>
  <si>
    <t>crocodile</t>
  </si>
  <si>
    <t>cat</t>
  </si>
  <si>
    <t>otter</t>
  </si>
  <si>
    <t>platypus</t>
  </si>
  <si>
    <t>squirrel</t>
  </si>
  <si>
    <t>dog</t>
  </si>
  <si>
    <t>ape</t>
  </si>
  <si>
    <t>wolf</t>
  </si>
  <si>
    <t>cow</t>
  </si>
  <si>
    <t>bird</t>
  </si>
  <si>
    <t>beaver</t>
  </si>
  <si>
    <t>snake</t>
  </si>
  <si>
    <t>chipmunk</t>
  </si>
  <si>
    <t>eagle</t>
  </si>
  <si>
    <t>bobcat</t>
  </si>
  <si>
    <t>rat</t>
  </si>
  <si>
    <t>Highlighte duplicate row</t>
  </si>
  <si>
    <t>count cell that are not equal to one value or another</t>
  </si>
  <si>
    <t>red</t>
  </si>
  <si>
    <t>Yellow</t>
  </si>
  <si>
    <t>&lt;&gt; red or blue</t>
  </si>
  <si>
    <t>&lt;&gt; red or Green</t>
  </si>
  <si>
    <t>&lt;&gt; blue or Green</t>
  </si>
  <si>
    <t>app-0234-R</t>
  </si>
  <si>
    <t>app-0235-G</t>
  </si>
  <si>
    <t>app-0235-S</t>
  </si>
  <si>
    <t>axx-0299-Y</t>
  </si>
  <si>
    <t>hat-0456-B</t>
  </si>
  <si>
    <t>hat-0457-R</t>
  </si>
  <si>
    <t>equ-876-S</t>
  </si>
  <si>
    <t>equ-877-S</t>
  </si>
  <si>
    <t>Criteria</t>
  </si>
  <si>
    <t>"*a*"</t>
  </si>
  <si>
    <t>"*-S*"</t>
  </si>
  <si>
    <t>*2*</t>
  </si>
  <si>
    <t>Result</t>
  </si>
  <si>
    <t>a</t>
  </si>
  <si>
    <t>b</t>
  </si>
  <si>
    <t>c</t>
  </si>
  <si>
    <t>d</t>
  </si>
  <si>
    <t>e</t>
  </si>
  <si>
    <t>g</t>
  </si>
  <si>
    <t>Width</t>
  </si>
  <si>
    <t>Height</t>
  </si>
  <si>
    <t>Cost</t>
  </si>
  <si>
    <t>Heights</t>
  </si>
  <si>
    <t>id</t>
  </si>
  <si>
    <t>Diameter</t>
  </si>
  <si>
    <t>Satellites</t>
  </si>
  <si>
    <t>mercury</t>
  </si>
  <si>
    <t>venus</t>
  </si>
  <si>
    <t>earth</t>
  </si>
  <si>
    <t>mass</t>
  </si>
  <si>
    <t>jupiter</t>
  </si>
  <si>
    <t>satrun</t>
  </si>
  <si>
    <t>uranus</t>
  </si>
  <si>
    <t>neptune</t>
  </si>
  <si>
    <t>Plotu</t>
  </si>
  <si>
    <t>ID</t>
  </si>
  <si>
    <t>Upper and Lower A(a)</t>
  </si>
  <si>
    <t>BAnana</t>
  </si>
  <si>
    <t>Apple</t>
  </si>
  <si>
    <t>orAnge</t>
  </si>
  <si>
    <t>grApes</t>
  </si>
  <si>
    <t>AAaaaAdf</t>
  </si>
  <si>
    <t>Count upper and lower A</t>
  </si>
  <si>
    <t>Student</t>
  </si>
  <si>
    <t>Score</t>
  </si>
  <si>
    <t>Rhea Madsen</t>
  </si>
  <si>
    <t>Jennifer Mendez</t>
  </si>
  <si>
    <t>Brett Broyles</t>
  </si>
  <si>
    <t>Shirley Smith</t>
  </si>
  <si>
    <t>John Brown</t>
  </si>
  <si>
    <t>Michael G. Welch</t>
  </si>
  <si>
    <t>Donald Tse</t>
  </si>
  <si>
    <t>Madeline Stevens</t>
  </si>
  <si>
    <t>Howard Porter</t>
  </si>
  <si>
    <t>Helen Craven</t>
  </si>
  <si>
    <t>Lillie Schultz</t>
  </si>
  <si>
    <t>Emily Li</t>
  </si>
  <si>
    <t>Michael Long</t>
  </si>
  <si>
    <t>Chris Herrman</t>
  </si>
  <si>
    <t>Marshall Sherman</t>
  </si>
  <si>
    <t>William Grindle</t>
  </si>
  <si>
    <t>Pauline Haun</t>
  </si>
  <si>
    <t>Lydia J. Evans</t>
  </si>
  <si>
    <t>James Weaver</t>
  </si>
  <si>
    <t>Barbara Billings</t>
  </si>
  <si>
    <t>William Hernandez</t>
  </si>
  <si>
    <t>Robert Griffin</t>
  </si>
  <si>
    <t>Pearl Mendez</t>
  </si>
  <si>
    <t>Kevin Trujillo</t>
  </si>
  <si>
    <t>Daniel Nelson</t>
  </si>
  <si>
    <t>Alfred Johnson</t>
  </si>
  <si>
    <t>Christopher Olszewski</t>
  </si>
  <si>
    <t>Christy Downing</t>
  </si>
  <si>
    <t>Hui Scales</t>
  </si>
  <si>
    <t>Norma Rea</t>
  </si>
  <si>
    <t>Lucinda C. Roberts</t>
  </si>
  <si>
    <t>Tommie Mosqueda</t>
  </si>
  <si>
    <t>Leon Billups</t>
  </si>
  <si>
    <t>Angela Newhouse</t>
  </si>
  <si>
    <t>George Smith</t>
  </si>
  <si>
    <t>Arthur Mack</t>
  </si>
  <si>
    <t>Jody Stewart</t>
  </si>
  <si>
    <t>Mark Veliz</t>
  </si>
  <si>
    <t>Betty Adams</t>
  </si>
  <si>
    <t>Tina Moore</t>
  </si>
  <si>
    <t>Anne Moton</t>
  </si>
  <si>
    <t>Nicole Strachan</t>
  </si>
  <si>
    <t>Carol Palazzo</t>
  </si>
  <si>
    <t>Rachel C. Vazquez</t>
  </si>
  <si>
    <t>Christopher Lindley</t>
  </si>
  <si>
    <t>Alvaro Kennedy</t>
  </si>
  <si>
    <t>Kenneth Horn</t>
  </si>
  <si>
    <t>Georgia Kim</t>
  </si>
  <si>
    <t>Penny Glasco</t>
  </si>
  <si>
    <t>Mark Jackson</t>
  </si>
  <si>
    <t>Benjamin P. Tickle</t>
  </si>
  <si>
    <t>John Curtis</t>
  </si>
  <si>
    <t>Robert Ashley</t>
  </si>
  <si>
    <t>Eric Mccoy</t>
  </si>
  <si>
    <t>Barbara Delacruz</t>
  </si>
  <si>
    <t>Paul Paredes</t>
  </si>
  <si>
    <t>Randy Haywood</t>
  </si>
  <si>
    <t>Mary Madison</t>
  </si>
  <si>
    <t>Robert Catoe</t>
  </si>
  <si>
    <t>Thomas Mitchell</t>
  </si>
  <si>
    <t>James Mccarty</t>
  </si>
  <si>
    <t>Joseph Peterson</t>
  </si>
  <si>
    <t>Mary Lockett</t>
  </si>
  <si>
    <t>Steven Scott</t>
  </si>
  <si>
    <t>Kenneth D. Farmer</t>
  </si>
  <si>
    <t>Dolores Jones</t>
  </si>
  <si>
    <t>Willie Longmire</t>
  </si>
  <si>
    <t>Susan Llamas</t>
  </si>
  <si>
    <t>Michael Price</t>
  </si>
  <si>
    <t>Christian Whiten</t>
  </si>
  <si>
    <t>Louis Colson</t>
  </si>
  <si>
    <t>Sally Crespo</t>
  </si>
  <si>
    <t>Elizabeth Kinney</t>
  </si>
  <si>
    <t>Ned Brown</t>
  </si>
  <si>
    <t>Elaine Clark</t>
  </si>
  <si>
    <t>Christy Rodriguez</t>
  </si>
  <si>
    <t>Joan Reynolds</t>
  </si>
  <si>
    <t>Brent Larrick</t>
  </si>
  <si>
    <t>David Jones</t>
  </si>
  <si>
    <t>Valeria Khan</t>
  </si>
  <si>
    <t>Courtney Lawrence</t>
  </si>
  <si>
    <t>Susan Flanders</t>
  </si>
  <si>
    <t>Bruce Dunn</t>
  </si>
  <si>
    <t>Rosemary Ruben</t>
  </si>
  <si>
    <t>Orlando Sanders</t>
  </si>
  <si>
    <t>Jane Smeltzer</t>
  </si>
  <si>
    <t>Douglas Mak</t>
  </si>
  <si>
    <t>Lynn Dare</t>
  </si>
  <si>
    <t>Felipe Blakney</t>
  </si>
  <si>
    <t>Dianne Atwood</t>
  </si>
  <si>
    <t>Lisa Small</t>
  </si>
  <si>
    <t>Liza Kirts</t>
  </si>
  <si>
    <t>Richard Medina</t>
  </si>
  <si>
    <t>Pauline George</t>
  </si>
  <si>
    <t>Cecilia Hernandez</t>
  </si>
  <si>
    <t>Kenneth Rosales</t>
  </si>
  <si>
    <t>Karl Varga</t>
  </si>
  <si>
    <t>Arthur Taylor</t>
  </si>
  <si>
    <t>Annie Koch</t>
  </si>
  <si>
    <t>Jannette Garcia</t>
  </si>
  <si>
    <t>Chastity Adams</t>
  </si>
  <si>
    <t>Les Paul</t>
  </si>
  <si>
    <t>Julie Jones</t>
  </si>
  <si>
    <t>Edward Fox</t>
  </si>
  <si>
    <t>Robert Byrd</t>
  </si>
  <si>
    <t>Dennis Johnson</t>
  </si>
  <si>
    <t>Mary Duff</t>
  </si>
  <si>
    <t>Pearlie Wilson</t>
  </si>
  <si>
    <t>Rachel Harden</t>
  </si>
  <si>
    <t>Burton Soto</t>
  </si>
  <si>
    <t>Loyce Durham</t>
  </si>
  <si>
    <t>Stacy Clark</t>
  </si>
  <si>
    <t>Betty O. Holland</t>
  </si>
  <si>
    <t>Terry Mchaney</t>
  </si>
  <si>
    <t>Joseph Moore</t>
  </si>
  <si>
    <t>Timothy Rondeau</t>
  </si>
  <si>
    <t>Jason Mathis</t>
  </si>
  <si>
    <t>Matthew Christian</t>
  </si>
  <si>
    <t>Andre Caufield</t>
  </si>
  <si>
    <t>Terry Torres</t>
  </si>
  <si>
    <t>Christopher Hernandez</t>
  </si>
  <si>
    <t>Arthur Henry</t>
  </si>
  <si>
    <t>Billy Esparza</t>
  </si>
  <si>
    <t>Rebecca J. Lewis</t>
  </si>
  <si>
    <t>Mike Rice</t>
  </si>
  <si>
    <t>Justin Milliken</t>
  </si>
  <si>
    <t>Erica Stanley</t>
  </si>
  <si>
    <t>Joseph Neil</t>
  </si>
  <si>
    <t>Kevin Leathers</t>
  </si>
  <si>
    <t>Maggie Thoman</t>
  </si>
  <si>
    <t>Jose Hallenbeck</t>
  </si>
  <si>
    <t>Rafael Atkins</t>
  </si>
  <si>
    <t>Andrew Boldt</t>
  </si>
  <si>
    <t>Susan Gutierrez</t>
  </si>
  <si>
    <t>John Bryan</t>
  </si>
  <si>
    <t>Bryan Miller</t>
  </si>
  <si>
    <t>James Kling</t>
  </si>
  <si>
    <t>Mary Stoddard</t>
  </si>
  <si>
    <t>Helen Cowherd</t>
  </si>
  <si>
    <t>Ruth Hernandez</t>
  </si>
  <si>
    <t>Brenda Williams</t>
  </si>
  <si>
    <t>Patrick Lee</t>
  </si>
  <si>
    <t>Leonard Bland</t>
  </si>
  <si>
    <t>Stephen Joyner</t>
  </si>
  <si>
    <t>Susan Feaster</t>
  </si>
  <si>
    <t>Elena Rochelle</t>
  </si>
  <si>
    <t>Martha Song</t>
  </si>
  <si>
    <t>Alberta Clark</t>
  </si>
  <si>
    <t>Jennifer Valletta</t>
  </si>
  <si>
    <t>Jessie Abramson</t>
  </si>
  <si>
    <t>Sarah Hayes</t>
  </si>
  <si>
    <t>Robert Hofer</t>
  </si>
  <si>
    <t>Jeffrey Pruett</t>
  </si>
  <si>
    <t>Franklin Stpierre</t>
  </si>
  <si>
    <t>Marvin Manzo</t>
  </si>
  <si>
    <t>Roland Angeles</t>
  </si>
  <si>
    <t>Molly Doss</t>
  </si>
  <si>
    <t>Derek Moses</t>
  </si>
  <si>
    <t>Jody Ludwig</t>
  </si>
  <si>
    <t>Clifford Ford</t>
  </si>
  <si>
    <t>Michael Shelton</t>
  </si>
  <si>
    <t>James Arnold</t>
  </si>
  <si>
    <t>Jimmy B. Marshall</t>
  </si>
  <si>
    <t>Chelsea Youngman</t>
  </si>
  <si>
    <t>Jennifer Bracero</t>
  </si>
  <si>
    <t>Betty Reyes</t>
  </si>
  <si>
    <t>David Kelly</t>
  </si>
  <si>
    <t>Michelle Z. Rowe</t>
  </si>
  <si>
    <t>Patricia Jordan</t>
  </si>
  <si>
    <t>Gary King</t>
  </si>
  <si>
    <t>Joshua S. Brown</t>
  </si>
  <si>
    <t>Linda T. Morehead</t>
  </si>
  <si>
    <t>Jennifer Bassham</t>
  </si>
  <si>
    <t>Alfred Huffman</t>
  </si>
  <si>
    <t>Jane Morgan</t>
  </si>
  <si>
    <t>Margaret Reilly</t>
  </si>
  <si>
    <t>Ernesto G. Binkley</t>
  </si>
  <si>
    <t>James R. Bernal</t>
  </si>
  <si>
    <t>Charlene Turner</t>
  </si>
  <si>
    <t>Rebecca Prince</t>
  </si>
  <si>
    <t>Bob Christie</t>
  </si>
  <si>
    <t>Scott Crites</t>
  </si>
  <si>
    <t>Naomi Rood</t>
  </si>
  <si>
    <t>Thomas Edwards</t>
  </si>
  <si>
    <t>Susan Beam</t>
  </si>
  <si>
    <t>Paul K. Brown</t>
  </si>
  <si>
    <t>Katherine Horton</t>
  </si>
  <si>
    <t>John Carroll</t>
  </si>
  <si>
    <t>Michael Baccus</t>
  </si>
  <si>
    <t>Lenore Martino</t>
  </si>
  <si>
    <t>Phillip Carlson</t>
  </si>
  <si>
    <t>Brandy Brooks</t>
  </si>
  <si>
    <t>Phyllis Lorenzen</t>
  </si>
  <si>
    <t>Mavis Brady</t>
  </si>
  <si>
    <t>Harvey Jones</t>
  </si>
  <si>
    <t>Deborah Byrd</t>
  </si>
  <si>
    <t>Sarah Keener</t>
  </si>
  <si>
    <t>Nereida Hartle</t>
  </si>
  <si>
    <t>Daryl Pollitt</t>
  </si>
  <si>
    <t>Rose Baylor</t>
  </si>
  <si>
    <t>Maria Wright</t>
  </si>
  <si>
    <t>Edward J. Wagner</t>
  </si>
  <si>
    <t>Catherine Talarico</t>
  </si>
  <si>
    <t>Sheryl Lefebre</t>
  </si>
  <si>
    <t>Chris Forrester</t>
  </si>
  <si>
    <t>Kevin H. Hernandez</t>
  </si>
  <si>
    <t>Robert Erazo</t>
  </si>
  <si>
    <t>Nora Jusino</t>
  </si>
  <si>
    <t>Autumn Pannell</t>
  </si>
  <si>
    <t>Marylin Black</t>
  </si>
  <si>
    <t>Stella Murray</t>
  </si>
  <si>
    <t>Chris Beasley</t>
  </si>
  <si>
    <t>Ramon Mcgovern</t>
  </si>
  <si>
    <t>Keith Ross</t>
  </si>
  <si>
    <t>Chris Maple</t>
  </si>
  <si>
    <t>Harold Lamar</t>
  </si>
  <si>
    <t>James Richards</t>
  </si>
  <si>
    <t>Jackie Iliff</t>
  </si>
  <si>
    <t>Junior Walker</t>
  </si>
  <si>
    <t>Richard Carr</t>
  </si>
  <si>
    <t>Alice Starks</t>
  </si>
  <si>
    <t>1-3</t>
  </si>
  <si>
    <t>4-6</t>
  </si>
  <si>
    <t>7-9</t>
  </si>
  <si>
    <t>10-12</t>
  </si>
  <si>
    <t>13-15</t>
  </si>
  <si>
    <t>Grand Total</t>
  </si>
  <si>
    <t>Output</t>
  </si>
  <si>
    <t>Sr. No.</t>
  </si>
  <si>
    <t>8ADR</t>
  </si>
  <si>
    <t>457GR</t>
  </si>
  <si>
    <t>4789F</t>
  </si>
  <si>
    <t>FG8794</t>
  </si>
  <si>
    <t>8KJ4578</t>
  </si>
  <si>
    <t>WS45789</t>
  </si>
  <si>
    <t>Count if start with 8</t>
  </si>
  <si>
    <t>Q-1</t>
  </si>
  <si>
    <t>Values</t>
  </si>
  <si>
    <t>Sum of Smallest 25 Values</t>
  </si>
  <si>
    <t>Q-2</t>
  </si>
  <si>
    <t>H</t>
  </si>
  <si>
    <t>O</t>
  </si>
  <si>
    <t>D</t>
  </si>
  <si>
    <t>J</t>
  </si>
  <si>
    <t>V</t>
  </si>
  <si>
    <t>M</t>
  </si>
  <si>
    <t>X</t>
  </si>
  <si>
    <t>Z</t>
  </si>
  <si>
    <t>Y</t>
  </si>
  <si>
    <t>N</t>
  </si>
  <si>
    <t>B</t>
  </si>
  <si>
    <t>P</t>
  </si>
  <si>
    <t>Q</t>
  </si>
  <si>
    <t>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</si>
  <si>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</si>
  <si>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</si>
  <si>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</si>
  <si>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</si>
  <si>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</si>
  <si>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</si>
  <si>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</si>
  <si>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</si>
  <si>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</si>
  <si>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</si>
  <si>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</si>
  <si>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</si>
  <si>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</si>
  <si>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Count How Many Time Exactly "D" or "d" occuring</t>
  </si>
  <si>
    <t>Q-3</t>
  </si>
  <si>
    <t>Value</t>
  </si>
  <si>
    <t>Count How Many Errors in the Range</t>
  </si>
  <si>
    <t>Depot</t>
  </si>
  <si>
    <t>A</t>
  </si>
  <si>
    <t>C</t>
  </si>
  <si>
    <t>E</t>
  </si>
  <si>
    <t>F</t>
  </si>
  <si>
    <t>G</t>
  </si>
  <si>
    <t>I</t>
  </si>
  <si>
    <t>K</t>
  </si>
  <si>
    <t>L</t>
  </si>
  <si>
    <t>Expected Result</t>
  </si>
  <si>
    <t>FORMULA</t>
  </si>
  <si>
    <t>Ambala</t>
  </si>
  <si>
    <t>Jammu</t>
  </si>
  <si>
    <t>Shimla</t>
  </si>
  <si>
    <t>Zirakpur</t>
  </si>
  <si>
    <t xml:space="preserve">I need to count cells which are "&gt;0" and doesn't have decimal figure </t>
  </si>
  <si>
    <t>Count only dacimal value.</t>
  </si>
  <si>
    <t>count without dacimal value.</t>
  </si>
  <si>
    <t>Admission No.</t>
  </si>
  <si>
    <t>Month</t>
  </si>
  <si>
    <t xml:space="preserve">Admission Date
</t>
  </si>
  <si>
    <t>Student Name</t>
  </si>
  <si>
    <t>DOB</t>
  </si>
  <si>
    <t xml:space="preserve"> Name of the village where student stays</t>
  </si>
  <si>
    <t>Father's Name</t>
  </si>
  <si>
    <t xml:space="preserve">Father's Occupation </t>
  </si>
  <si>
    <t>Mother's Name</t>
  </si>
  <si>
    <t xml:space="preserve">Migrant Family </t>
  </si>
  <si>
    <t>BPL Family</t>
  </si>
  <si>
    <t>Physically Challenged</t>
  </si>
  <si>
    <t>Type of Physical Challenge</t>
  </si>
  <si>
    <t>Boy/ Girl</t>
  </si>
  <si>
    <t>SC/ST / OBC / GEN</t>
  </si>
  <si>
    <t>Active/ Dropout/ Broughtback/ Transferred</t>
  </si>
  <si>
    <t>REW/20403/140/11</t>
  </si>
  <si>
    <t>apr</t>
  </si>
  <si>
    <t>3-apr-2011</t>
  </si>
  <si>
    <t>Ravinder</t>
  </si>
  <si>
    <t>may</t>
  </si>
  <si>
    <t>30-may-2007</t>
  </si>
  <si>
    <t>Mandiya Khurd</t>
  </si>
  <si>
    <t>Rakesh</t>
  </si>
  <si>
    <t>Labour</t>
  </si>
  <si>
    <t>Guddi</t>
  </si>
  <si>
    <t>No</t>
  </si>
  <si>
    <t>Boy</t>
  </si>
  <si>
    <t>SC</t>
  </si>
  <si>
    <t>Active</t>
  </si>
  <si>
    <t>REW/20403/158/11</t>
  </si>
  <si>
    <t>jun</t>
  </si>
  <si>
    <t>23-jun-2011</t>
  </si>
  <si>
    <t>Jyoti</t>
  </si>
  <si>
    <t>oct</t>
  </si>
  <si>
    <t>14-oct-2006</t>
  </si>
  <si>
    <t>InderKumar</t>
  </si>
  <si>
    <t>Sarla</t>
  </si>
  <si>
    <t>Girl</t>
  </si>
  <si>
    <t>OBC</t>
  </si>
  <si>
    <t>Broughtback</t>
  </si>
  <si>
    <t>REW/20403/161/11</t>
  </si>
  <si>
    <t>27-apr-2011</t>
  </si>
  <si>
    <t>Sweta</t>
  </si>
  <si>
    <t xml:space="preserve">jan </t>
  </si>
  <si>
    <t>2-jan -2008</t>
  </si>
  <si>
    <t>Vijay Kumar</t>
  </si>
  <si>
    <t>Sheela</t>
  </si>
  <si>
    <t>Yes</t>
  </si>
  <si>
    <t>REW/20403/183/12</t>
  </si>
  <si>
    <t>15-apr-2012</t>
  </si>
  <si>
    <t>Shayar</t>
  </si>
  <si>
    <t>aug</t>
  </si>
  <si>
    <t>11-aug-2005</t>
  </si>
  <si>
    <t>Berli Kalan</t>
  </si>
  <si>
    <t>Sitaram</t>
  </si>
  <si>
    <t>Rekha</t>
  </si>
  <si>
    <t>REW/20403/181/12</t>
  </si>
  <si>
    <t>Rahul</t>
  </si>
  <si>
    <t>18-aug-2007</t>
  </si>
  <si>
    <t>Ramesh Kumar</t>
  </si>
  <si>
    <t>Businessman</t>
  </si>
  <si>
    <t>Aarti</t>
  </si>
  <si>
    <t>Dropout</t>
  </si>
  <si>
    <t>REW/20403/212/12</t>
  </si>
  <si>
    <t>jul</t>
  </si>
  <si>
    <t>14-jul-2012</t>
  </si>
  <si>
    <t>Devender</t>
  </si>
  <si>
    <t>24-jul-2007</t>
  </si>
  <si>
    <t>Rajbir</t>
  </si>
  <si>
    <t>Rachana</t>
  </si>
  <si>
    <t>REW/20403/246/14</t>
  </si>
  <si>
    <t>1-apr-2014</t>
  </si>
  <si>
    <t>Sohil Rana</t>
  </si>
  <si>
    <t>sep</t>
  </si>
  <si>
    <t>28-sep-2006</t>
  </si>
  <si>
    <t>Mandiya Bhatta</t>
  </si>
  <si>
    <t>Shaipool</t>
  </si>
  <si>
    <t>Makhtul</t>
  </si>
  <si>
    <t>REW/20403/254/14</t>
  </si>
  <si>
    <t>5-apr-2014</t>
  </si>
  <si>
    <t>Shakshi</t>
  </si>
  <si>
    <t>4-oct-2006</t>
  </si>
  <si>
    <t>Rewari</t>
  </si>
  <si>
    <t>Lt.Ved Prakash</t>
  </si>
  <si>
    <t>Ramgiri</t>
  </si>
  <si>
    <t>REW/20403/280/14</t>
  </si>
  <si>
    <t>28-apr-2014</t>
  </si>
  <si>
    <t>Jatin</t>
  </si>
  <si>
    <t>29-jan -2006</t>
  </si>
  <si>
    <t>Shyamsunder</t>
  </si>
  <si>
    <t>Pvt. Job</t>
  </si>
  <si>
    <t>Simran</t>
  </si>
  <si>
    <t>REW/20403/279/14</t>
  </si>
  <si>
    <t>Shashank</t>
  </si>
  <si>
    <t>17-aug-2006</t>
  </si>
  <si>
    <t>Ritesh</t>
  </si>
  <si>
    <t>Baby</t>
  </si>
  <si>
    <t>REW/20403/244/14</t>
  </si>
  <si>
    <t>mar</t>
  </si>
  <si>
    <t>23-mar-2014</t>
  </si>
  <si>
    <t>CHITRESH</t>
  </si>
  <si>
    <t>nov</t>
  </si>
  <si>
    <t>29-nov-2009</t>
  </si>
  <si>
    <t>Ramesh</t>
  </si>
  <si>
    <t>REW/20403/245/14</t>
  </si>
  <si>
    <t>2-apr-2014</t>
  </si>
  <si>
    <t>MANJEET</t>
  </si>
  <si>
    <t>30-sep-2009</t>
  </si>
  <si>
    <t>Satyawan</t>
  </si>
  <si>
    <t>Suman</t>
  </si>
  <si>
    <t>REW/20403/251/14</t>
  </si>
  <si>
    <t>3-apr-2014</t>
  </si>
  <si>
    <t>VAISHALI</t>
  </si>
  <si>
    <t>11-mar-2010</t>
  </si>
  <si>
    <t>Puran Singh</t>
  </si>
  <si>
    <t>Suman Devi</t>
  </si>
  <si>
    <t>REW/20403/253/14</t>
  </si>
  <si>
    <t>KISMAT</t>
  </si>
  <si>
    <t>15-nov-2009</t>
  </si>
  <si>
    <t>REW//20403/255/14</t>
  </si>
  <si>
    <t>NITIN</t>
  </si>
  <si>
    <t>feb</t>
  </si>
  <si>
    <t>10-feb-2010</t>
  </si>
  <si>
    <t>Satish</t>
  </si>
  <si>
    <t>Driver</t>
  </si>
  <si>
    <t>Monika</t>
  </si>
  <si>
    <t>REW//20403/256/14</t>
  </si>
  <si>
    <t>6-apr-2014</t>
  </si>
  <si>
    <t>MOHIT</t>
  </si>
  <si>
    <t>17-nov-2009</t>
  </si>
  <si>
    <t>REW//20403/257/14</t>
  </si>
  <si>
    <t>7-apr-2014</t>
  </si>
  <si>
    <t>YASH</t>
  </si>
  <si>
    <t>ChanderBhan</t>
  </si>
  <si>
    <t>REW//20403/259/14</t>
  </si>
  <si>
    <t>NANDANI</t>
  </si>
  <si>
    <t>24-jan -2010</t>
  </si>
  <si>
    <t>Matadin</t>
  </si>
  <si>
    <t>Malti</t>
  </si>
  <si>
    <t>REW//20403/261/14</t>
  </si>
  <si>
    <t>8-apr-2014</t>
  </si>
  <si>
    <t>ANSHU</t>
  </si>
  <si>
    <t>25-feb-2010</t>
  </si>
  <si>
    <t>Anil Kumar</t>
  </si>
  <si>
    <t>Pvt job</t>
  </si>
  <si>
    <t>REW//20403/262/14</t>
  </si>
  <si>
    <t>NIKHIL</t>
  </si>
  <si>
    <t>11-feb-2010</t>
  </si>
  <si>
    <t>Bhagmal</t>
  </si>
  <si>
    <t>Shushila</t>
  </si>
  <si>
    <t>REW//20403/281/14</t>
  </si>
  <si>
    <t>6-jul-2014</t>
  </si>
  <si>
    <t>AKHIL CHOPRA</t>
  </si>
  <si>
    <t>30-mar-2010</t>
  </si>
  <si>
    <t>Kapoor Chopra</t>
  </si>
  <si>
    <t>Sarita</t>
  </si>
  <si>
    <t>REW//20403/289/14</t>
  </si>
  <si>
    <t>15-jul-2014</t>
  </si>
  <si>
    <t>RONI</t>
  </si>
  <si>
    <t>6-jun-2009</t>
  </si>
  <si>
    <t>Rabik khan</t>
  </si>
  <si>
    <t>Worker</t>
  </si>
  <si>
    <t>Rujina</t>
  </si>
  <si>
    <t>REW//20403/290/14</t>
  </si>
  <si>
    <t>TANU</t>
  </si>
  <si>
    <t>10-mar-2010</t>
  </si>
  <si>
    <t>Sunil Kumar</t>
  </si>
  <si>
    <t>Bharti</t>
  </si>
  <si>
    <t>REW/20403/173/12</t>
  </si>
  <si>
    <t>21-mar-2012</t>
  </si>
  <si>
    <t>7-jun-2009</t>
  </si>
  <si>
    <t>Sonu</t>
  </si>
  <si>
    <t>Pavita</t>
  </si>
  <si>
    <t>REW/20403/176/12</t>
  </si>
  <si>
    <t>26-mar-2012</t>
  </si>
  <si>
    <t>Khushi</t>
  </si>
  <si>
    <t>11-jan -2009</t>
  </si>
  <si>
    <t>Ashok</t>
  </si>
  <si>
    <t>Farmer</t>
  </si>
  <si>
    <t>Sunita</t>
  </si>
  <si>
    <t>REW/20403/179/12</t>
  </si>
  <si>
    <t>Komal</t>
  </si>
  <si>
    <t>20-oct-2008</t>
  </si>
  <si>
    <t>Berli kalan</t>
  </si>
  <si>
    <t>Sushila</t>
  </si>
  <si>
    <t>REW/20403/180/12</t>
  </si>
  <si>
    <t>Naveen</t>
  </si>
  <si>
    <t>4-nov-2008</t>
  </si>
  <si>
    <t>Satish Kumar</t>
  </si>
  <si>
    <t>REW/20403/186/12</t>
  </si>
  <si>
    <t>5-may-2012</t>
  </si>
  <si>
    <t>Vikash</t>
  </si>
  <si>
    <t>31-jul-2008</t>
  </si>
  <si>
    <t>Subhash</t>
  </si>
  <si>
    <t>Govt.Service</t>
  </si>
  <si>
    <t>Meena</t>
  </si>
  <si>
    <t>REW/20403/203/12</t>
  </si>
  <si>
    <t>27-aug-2012</t>
  </si>
  <si>
    <t>Gazal</t>
  </si>
  <si>
    <t>dec</t>
  </si>
  <si>
    <t>4-dec-2008</t>
  </si>
  <si>
    <t>Musepur</t>
  </si>
  <si>
    <t>Sudhir</t>
  </si>
  <si>
    <t>Madhu</t>
  </si>
  <si>
    <t>REW/20403/210/12</t>
  </si>
  <si>
    <t>14-sep-2012</t>
  </si>
  <si>
    <t>Payal</t>
  </si>
  <si>
    <t>7-dec-2008</t>
  </si>
  <si>
    <t>Rajesh</t>
  </si>
  <si>
    <t>Laxmi</t>
  </si>
  <si>
    <t>REW/20403/217/12</t>
  </si>
  <si>
    <t>8-nov-2012</t>
  </si>
  <si>
    <t>Tamanna</t>
  </si>
  <si>
    <t>1-jul-2009</t>
  </si>
  <si>
    <t>Inder Kumar</t>
  </si>
  <si>
    <t>REW/20403/232/13</t>
  </si>
  <si>
    <t>20-apr-2013</t>
  </si>
  <si>
    <t>Priya</t>
  </si>
  <si>
    <t>20-nov-2008</t>
  </si>
  <si>
    <t>Kamal Singh</t>
  </si>
  <si>
    <t>Shakuntala</t>
  </si>
  <si>
    <t>REW/20403/239/13</t>
  </si>
  <si>
    <t>1-may-2013</t>
  </si>
  <si>
    <t>5-oct-2008</t>
  </si>
  <si>
    <t>Berli khurd</t>
  </si>
  <si>
    <t>Sudhir Kumar</t>
  </si>
  <si>
    <t>Priya Devi</t>
  </si>
  <si>
    <t>REW/20403/242/13</t>
  </si>
  <si>
    <t>2-jul-2013</t>
  </si>
  <si>
    <t>Divya</t>
  </si>
  <si>
    <t>4-jan -2009</t>
  </si>
  <si>
    <t>Lt. Devender</t>
  </si>
  <si>
    <t>Sumesh</t>
  </si>
  <si>
    <t>REW/20403/260/14</t>
  </si>
  <si>
    <t>Vaisnavi Chauhan</t>
  </si>
  <si>
    <t>24-nov-2008</t>
  </si>
  <si>
    <t>Madan Chauhan</t>
  </si>
  <si>
    <t>Bindula</t>
  </si>
  <si>
    <t>GEN</t>
  </si>
  <si>
    <t>REW/20403/264/14</t>
  </si>
  <si>
    <t>11-apr-2014</t>
  </si>
  <si>
    <t>Gulab Husain</t>
  </si>
  <si>
    <t>18-aug-2008</t>
  </si>
  <si>
    <t>Abul Husain</t>
  </si>
  <si>
    <t>Basiron</t>
  </si>
  <si>
    <t>REW/20403/266/14</t>
  </si>
  <si>
    <t>Raj</t>
  </si>
  <si>
    <t>13-dec-2008</t>
  </si>
  <si>
    <t>REW/20403/269/14</t>
  </si>
  <si>
    <t>12-apr-2014</t>
  </si>
  <si>
    <t>Preeti</t>
  </si>
  <si>
    <t>11-nov-2009</t>
  </si>
  <si>
    <t>Rohtash</t>
  </si>
  <si>
    <t>REW/20403/277/14</t>
  </si>
  <si>
    <t>Ankit</t>
  </si>
  <si>
    <t>17-mar-2009</t>
  </si>
  <si>
    <t>Amit</t>
  </si>
  <si>
    <t>Shopkeeper</t>
  </si>
  <si>
    <t>Manju</t>
  </si>
  <si>
    <t>REW/20403/278/14</t>
  </si>
  <si>
    <t>Jashan</t>
  </si>
  <si>
    <t>1-dec-2008</t>
  </si>
  <si>
    <t>Pvt.job</t>
  </si>
  <si>
    <t>REW/20403/285/14</t>
  </si>
  <si>
    <t>10-aug-2014</t>
  </si>
  <si>
    <t>10-aug-2008</t>
  </si>
  <si>
    <t xml:space="preserve">Berli </t>
  </si>
  <si>
    <t>Bijender</t>
  </si>
  <si>
    <t>Pavitra</t>
  </si>
  <si>
    <t>REW/20403/286/14</t>
  </si>
  <si>
    <t>Beuti</t>
  </si>
  <si>
    <t>10-oct-2008</t>
  </si>
  <si>
    <t>Manddiya Bhatta</t>
  </si>
  <si>
    <t>Shariet</t>
  </si>
  <si>
    <t>Anura</t>
  </si>
  <si>
    <t>REW/20403/287/14</t>
  </si>
  <si>
    <t>Ariphul</t>
  </si>
  <si>
    <t>10-aug-2009</t>
  </si>
  <si>
    <t>REW/20403/288/14</t>
  </si>
  <si>
    <t>Shahin</t>
  </si>
  <si>
    <t>8-jul-2008</t>
  </si>
  <si>
    <t>Mopijul</t>
  </si>
  <si>
    <t>Shaiba</t>
  </si>
  <si>
    <t>REW/20403/297/15</t>
  </si>
  <si>
    <t>24-apr-2015</t>
  </si>
  <si>
    <t>Hamela Ali</t>
  </si>
  <si>
    <t>26-dec-2006</t>
  </si>
  <si>
    <t>Hainur Ali</t>
  </si>
  <si>
    <t>Flowara Khatun</t>
  </si>
  <si>
    <t>REW/20403/305/15</t>
  </si>
  <si>
    <t>1-may-2015</t>
  </si>
  <si>
    <t>Nur Alam</t>
  </si>
  <si>
    <t>6-jan -2009</t>
  </si>
  <si>
    <t>Sajahan Ali</t>
  </si>
  <si>
    <t>Shashi Ron</t>
  </si>
  <si>
    <t>Boys</t>
  </si>
  <si>
    <t>Girls</t>
  </si>
  <si>
    <t>ST</t>
  </si>
  <si>
    <t>Gen</t>
  </si>
  <si>
    <t>HSN</t>
  </si>
  <si>
    <t>Output Required</t>
  </si>
  <si>
    <t>Aniruddha Shanbhag</t>
  </si>
  <si>
    <t>A-1</t>
  </si>
  <si>
    <t>Atrash Aman</t>
  </si>
  <si>
    <t>A-2</t>
  </si>
  <si>
    <t>Anooj Kapoor</t>
  </si>
  <si>
    <t>A-3</t>
  </si>
  <si>
    <t>Atul Singh</t>
  </si>
  <si>
    <t>A-4</t>
  </si>
  <si>
    <t>Ankit Dand</t>
  </si>
  <si>
    <t>A-5</t>
  </si>
  <si>
    <t>A-6</t>
  </si>
  <si>
    <t>Anshul Pyal</t>
  </si>
  <si>
    <t>A-7</t>
  </si>
  <si>
    <t>Anurag Makhija</t>
  </si>
  <si>
    <t>A-8</t>
  </si>
  <si>
    <t>Bhawana Kapoor</t>
  </si>
  <si>
    <t>B-1</t>
  </si>
  <si>
    <t>B.P.Sahani</t>
  </si>
  <si>
    <t>B-2</t>
  </si>
  <si>
    <t>BIJENDRA SINGH PUNDIR</t>
  </si>
  <si>
    <t>B-3</t>
  </si>
  <si>
    <t>Bhuwan Chand Joshi</t>
  </si>
  <si>
    <t>B-4</t>
  </si>
  <si>
    <t>Chati K Jangla</t>
  </si>
  <si>
    <t>C-1</t>
  </si>
  <si>
    <t>Chandrakant Bamane</t>
  </si>
  <si>
    <t>C-2</t>
  </si>
  <si>
    <t>Chandra Bhushan Singh</t>
  </si>
  <si>
    <t>C-3</t>
  </si>
  <si>
    <t xml:space="preserve">CHARU DUTT </t>
  </si>
  <si>
    <t>C-4</t>
  </si>
  <si>
    <t>CHANDRU K.S.</t>
  </si>
  <si>
    <t>C-5</t>
  </si>
  <si>
    <t>Deepak Mehra</t>
  </si>
  <si>
    <t>D-1</t>
  </si>
  <si>
    <t>Dibyajyoti Mahapatra</t>
  </si>
  <si>
    <t>D-2</t>
  </si>
  <si>
    <t>Dheeraj Sharma</t>
  </si>
  <si>
    <t>D-3</t>
  </si>
  <si>
    <t>Deepti Nayak</t>
  </si>
  <si>
    <t>D-4</t>
  </si>
  <si>
    <t>Deepak Bharti</t>
  </si>
  <si>
    <t>D-5</t>
  </si>
  <si>
    <t>Date of Joining</t>
  </si>
  <si>
    <t>Chetna</t>
  </si>
  <si>
    <t>Gopal</t>
  </si>
  <si>
    <t>Manish</t>
  </si>
  <si>
    <t>Devidas</t>
  </si>
  <si>
    <t>Sunil</t>
  </si>
  <si>
    <t>Vijay</t>
  </si>
  <si>
    <t>Find number of employee who have join before 2015 ?</t>
  </si>
  <si>
    <t>Total Count</t>
  </si>
  <si>
    <t>Find bonus of each employee as per their rating, given percentage in inside ?</t>
  </si>
  <si>
    <t>Total CTC</t>
  </si>
  <si>
    <t>Behaviour Rating</t>
  </si>
  <si>
    <t>Perfomance Rating</t>
  </si>
  <si>
    <t>Devdas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</si>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</sst>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\-mmm\-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5" fillId="0" borderId="0"/>
    <xf numFmtId="0" fontId="5" fillId="0" borderId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71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0" borderId="1" xfId="0" applyBorder="1"/>
    <xf numFmtId="0" fontId="2" fillId="3" borderId="1" xfId="0" applyFont="1" applyFill="1" applyBorder="1"/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right"/>
    </xf>
    <xf numFmtId="0" fontId="0" fillId="4" borderId="0" xfId="0" applyFill="1"/>
    <xf numFmtId="0" fontId="0" fillId="2" borderId="2" xfId="0" applyFill="1" applyBorder="1"/>
    <xf numFmtId="0" fontId="0" fillId="2" borderId="1" xfId="0" applyFill="1" applyBorder="1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0" fillId="0" borderId="1" xfId="0" applyNumberFormat="1" applyBorder="1"/>
    <xf numFmtId="0" fontId="6" fillId="6" borderId="11" xfId="1" applyFont="1" applyFill="1" applyBorder="1" applyAlignment="1">
      <alignment horizontal="left" vertical="center" wrapText="1"/>
    </xf>
    <xf numFmtId="0" fontId="7" fillId="6" borderId="11" xfId="2" applyFont="1" applyFill="1" applyBorder="1" applyAlignment="1">
      <alignment horizontal="left" vertical="center" wrapText="1"/>
    </xf>
    <xf numFmtId="0" fontId="6" fillId="6" borderId="11" xfId="2" applyFont="1" applyFill="1" applyBorder="1" applyAlignment="1">
      <alignment horizontal="left" vertical="center" wrapText="1"/>
    </xf>
    <xf numFmtId="0" fontId="6" fillId="6" borderId="12" xfId="2" applyFont="1" applyFill="1" applyBorder="1" applyAlignment="1">
      <alignment horizontal="left" vertical="center" wrapText="1"/>
    </xf>
    <xf numFmtId="0" fontId="8" fillId="0" borderId="4" xfId="1" applyFont="1" applyBorder="1" applyAlignment="1" applyProtection="1">
      <alignment horizontal="left" vertical="center"/>
      <protection locked="0"/>
    </xf>
    <xf numFmtId="0" fontId="8" fillId="0" borderId="1" xfId="2" applyFont="1" applyBorder="1" applyAlignment="1" applyProtection="1">
      <alignment horizontal="left" vertical="center"/>
      <protection locked="0"/>
    </xf>
    <xf numFmtId="164" fontId="8" fillId="7" borderId="4" xfId="2" applyNumberFormat="1" applyFont="1" applyFill="1" applyBorder="1" applyAlignment="1">
      <alignment horizontal="left" vertical="center"/>
    </xf>
    <xf numFmtId="0" fontId="8" fillId="0" borderId="1" xfId="1" applyFont="1" applyBorder="1" applyAlignment="1" applyProtection="1">
      <alignment horizontal="left" vertical="center"/>
      <protection locked="0"/>
    </xf>
    <xf numFmtId="164" fontId="8" fillId="0" borderId="4" xfId="2" applyNumberFormat="1" applyFont="1" applyBorder="1" applyAlignment="1" applyProtection="1">
      <alignment horizontal="left" vertical="center"/>
      <protection locked="0"/>
    </xf>
    <xf numFmtId="164" fontId="8" fillId="7" borderId="1" xfId="2" applyNumberFormat="1" applyFont="1" applyFill="1" applyBorder="1" applyAlignment="1">
      <alignment horizontal="left" vertical="center"/>
    </xf>
    <xf numFmtId="164" fontId="8" fillId="0" borderId="1" xfId="2" applyNumberFormat="1" applyFont="1" applyBorder="1" applyAlignment="1" applyProtection="1">
      <alignment horizontal="left" vertical="center"/>
      <protection locked="0"/>
    </xf>
    <xf numFmtId="0" fontId="8" fillId="0" borderId="1" xfId="1" applyFont="1" applyBorder="1" applyAlignment="1" applyProtection="1">
      <alignment horizontal="left" vertical="center" wrapText="1"/>
      <protection locked="0"/>
    </xf>
    <xf numFmtId="0" fontId="6" fillId="6" borderId="1" xfId="1" applyFont="1" applyFill="1" applyBorder="1" applyAlignment="1">
      <alignment horizontal="center" vertical="center" wrapText="1"/>
    </xf>
    <xf numFmtId="0" fontId="9" fillId="8" borderId="1" xfId="3" applyFont="1" applyBorder="1"/>
    <xf numFmtId="0" fontId="10" fillId="9" borderId="14" xfId="4" applyFont="1" applyBorder="1"/>
    <xf numFmtId="0" fontId="10" fillId="9" borderId="15" xfId="4" applyFont="1" applyBorder="1"/>
    <xf numFmtId="14" fontId="0" fillId="0" borderId="1" xfId="0" applyNumberFormat="1" applyBorder="1"/>
    <xf numFmtId="0" fontId="11" fillId="11" borderId="16" xfId="0" applyFont="1" applyFill="1" applyBorder="1" applyAlignment="1">
      <alignment horizontal="center" vertical="center" wrapText="1"/>
    </xf>
    <xf numFmtId="0" fontId="11" fillId="11" borderId="17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9" fontId="0" fillId="0" borderId="1" xfId="0" applyNumberFormat="1" applyBorder="1"/>
    <xf numFmtId="0" fontId="0" fillId="0" borderId="3" xfId="0" applyBorder="1" applyAlignment="1">
      <alignment wrapText="1"/>
    </xf>
    <xf numFmtId="9" fontId="0" fillId="0" borderId="5" xfId="0" applyNumberFormat="1" applyBorder="1" applyAlignment="1">
      <alignment wrapText="1"/>
    </xf>
    <xf numFmtId="9" fontId="0" fillId="0" borderId="7" xfId="0" applyNumberFormat="1" applyBorder="1"/>
    <xf numFmtId="9" fontId="0" fillId="0" borderId="10" xfId="0" applyNumberFormat="1" applyBorder="1"/>
    <xf numFmtId="0" fontId="11" fillId="11" borderId="1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6" borderId="13" xfId="1" applyFont="1" applyFill="1" applyBorder="1" applyAlignment="1">
      <alignment horizontal="center" vertical="center" wrapText="1"/>
    </xf>
    <xf numFmtId="0" fontId="6" fillId="6" borderId="2" xfId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0" borderId="0" xfId="0" applyFont="1" applyFill="1" applyAlignment="1">
      <alignment horizontal="center"/>
    </xf>
    <xf numFmtId="0" fontId="11" fillId="11" borderId="20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 wrapText="1"/>
    </xf>
    <xf numFmtId="1" fontId="0" fillId="2" borderId="0" xfId="0" quotePrefix="1" applyNumberFormat="1" applyFill="1"/>
    <xf numFmtId="0" fontId="0" fillId="2" borderId="1" xfId="0" quotePrefix="1" applyFill="1" applyBorder="1"/>
  </cellXfs>
  <cellStyles count="5">
    <cellStyle name="Accent1" xfId="3" builtinId="29"/>
    <cellStyle name="Accent2" xfId="4" builtinId="33"/>
    <cellStyle name="Normal" xfId="0" builtinId="0"/>
    <cellStyle name="Normal 13" xfId="1" xr:uid="{00000000-0005-0000-0000-000003000000}"/>
    <cellStyle name="Normal 2 2" xfId="2" xr:uid="{00000000-0005-0000-0000-000004000000}"/>
  </cellStyles>
  <dxfs count="1">
    <dxf>
      <fill>
        <patternFill>
          <bgColor rgb="FFFFC000"/>
        </patternFill>
      </fill>
    </dxf>
  </dxfs>
  <tableStyles count="1" defaultTableStyle="TableStyleMedium2" defaultPivotStyle="PivotStyleLight16">
    <tableStyle name="Invisible" pivot="0" table="0" count="0" xr9:uid="{A287A8F4-3A8E-4C6A-A2BD-2B6CC9EA89A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"/>
  <sheetViews>
    <sheetView tabSelected="1" workbookViewId="0">
      <selection activeCell="G11" sqref="G11"/>
    </sheetView>
  </sheetViews>
  <sheetFormatPr defaultRowHeight="14.6" x14ac:dyDescent="0.4"/>
  <cols>
    <col min="1" max="1" width="12.69140625" bestFit="1" customWidth="1"/>
    <col min="3" max="3" width="9.84375" bestFit="1" customWidth="1"/>
  </cols>
  <sheetData>
    <row r="1" spans="1:4" x14ac:dyDescent="0.4">
      <c r="A1" t="s">
        <v>0</v>
      </c>
      <c r="B1" t="s">
        <v>4</v>
      </c>
      <c r="C1" t="s">
        <v>5</v>
      </c>
    </row>
    <row r="2" spans="1:4" x14ac:dyDescent="0.4">
      <c r="A2" t="s">
        <v>1</v>
      </c>
      <c r="B2">
        <v>10</v>
      </c>
      <c r="C2" s="1">
        <v>42019</v>
      </c>
    </row>
    <row r="3" spans="1:4" x14ac:dyDescent="0.4">
      <c r="A3" t="s">
        <v>2</v>
      </c>
      <c r="B3">
        <v>20</v>
      </c>
      <c r="C3" s="1">
        <v>42038</v>
      </c>
    </row>
    <row r="4" spans="1:4" x14ac:dyDescent="0.4">
      <c r="A4" t="s">
        <v>3</v>
      </c>
      <c r="B4">
        <v>25</v>
      </c>
      <c r="C4" s="1">
        <v>42088</v>
      </c>
    </row>
    <row r="5" spans="1:4" x14ac:dyDescent="0.4">
      <c r="A5" t="s">
        <v>2</v>
      </c>
      <c r="B5">
        <v>30</v>
      </c>
      <c r="C5" s="1">
        <v>42075</v>
      </c>
    </row>
    <row r="6" spans="1:4" x14ac:dyDescent="0.4">
      <c r="A6" t="s">
        <v>3</v>
      </c>
      <c r="B6">
        <v>20</v>
      </c>
      <c r="C6" s="1">
        <v>42096</v>
      </c>
    </row>
    <row r="7" spans="1:4" x14ac:dyDescent="0.4">
      <c r="A7" t="s">
        <v>2</v>
      </c>
      <c r="B7">
        <v>30</v>
      </c>
      <c r="C7" s="1">
        <v>42103</v>
      </c>
    </row>
    <row r="8" spans="1:4" x14ac:dyDescent="0.4">
      <c r="A8" t="s">
        <v>1</v>
      </c>
      <c r="B8">
        <v>10</v>
      </c>
      <c r="C8" s="1">
        <v>42019</v>
      </c>
    </row>
    <row r="9" spans="1:4" x14ac:dyDescent="0.4">
      <c r="A9" t="s">
        <v>2</v>
      </c>
      <c r="B9">
        <v>10</v>
      </c>
      <c r="C9" s="1">
        <v>42019</v>
      </c>
    </row>
    <row r="12" spans="1:4" x14ac:dyDescent="0.4">
      <c r="A12" t="s">
        <v>6</v>
      </c>
    </row>
    <row r="13" spans="1:4" x14ac:dyDescent="0.4">
      <c r="A13" t="s">
        <v>7</v>
      </c>
      <c r="B13" t="s">
        <v>8</v>
      </c>
      <c r="C13" t="s">
        <v>9</v>
      </c>
      <c r="D13" t="s">
        <v>10</v>
      </c>
    </row>
    <row r="14" spans="1:4" x14ac:dyDescent="0.4">
      <c r="A14" t="s">
        <v>11</v>
      </c>
      <c r="B14">
        <v>25000</v>
      </c>
      <c r="C14" t="s">
        <v>17</v>
      </c>
      <c r="D14">
        <v>70000</v>
      </c>
    </row>
    <row r="15" spans="1:4" x14ac:dyDescent="0.4">
      <c r="A15" t="s">
        <v>12</v>
      </c>
      <c r="B15">
        <v>60000</v>
      </c>
      <c r="C15" t="s">
        <v>18</v>
      </c>
      <c r="D15">
        <v>30000</v>
      </c>
    </row>
    <row r="16" spans="1:4" x14ac:dyDescent="0.4">
      <c r="A16" t="s">
        <v>13</v>
      </c>
      <c r="B16">
        <v>35000</v>
      </c>
      <c r="C16" t="s">
        <v>18</v>
      </c>
      <c r="D16">
        <v>40000</v>
      </c>
    </row>
    <row r="17" spans="1:4" x14ac:dyDescent="0.4">
      <c r="A17" t="s">
        <v>14</v>
      </c>
      <c r="B17">
        <v>19000</v>
      </c>
      <c r="C17" t="s">
        <v>19</v>
      </c>
      <c r="D17">
        <v>150000</v>
      </c>
    </row>
    <row r="18" spans="1:4" x14ac:dyDescent="0.4">
      <c r="A18" t="s">
        <v>15</v>
      </c>
      <c r="B18">
        <v>15000</v>
      </c>
      <c r="C18" t="s">
        <v>20</v>
      </c>
      <c r="D18">
        <v>350000</v>
      </c>
    </row>
    <row r="19" spans="1:4" x14ac:dyDescent="0.4">
      <c r="A19" t="s">
        <v>16</v>
      </c>
      <c r="B19">
        <v>15000</v>
      </c>
      <c r="C19" t="s">
        <v>2</v>
      </c>
      <c r="D19">
        <v>350000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topLeftCell="A30" workbookViewId="0">
      <selection activeCell="D47" sqref="D47:D49"/>
    </sheetView>
  </sheetViews>
  <sheetFormatPr defaultRowHeight="14.6" x14ac:dyDescent="0.4"/>
  <cols>
    <col min="1" max="1" width="11" bestFit="1" customWidth="1"/>
    <col min="2" max="2" width="10.15234375" bestFit="1" customWidth="1"/>
    <col min="3" max="3" width="23.15234375" bestFit="1" customWidth="1"/>
    <col min="6" max="6" width="11" bestFit="1" customWidth="1"/>
    <col min="7" max="7" width="22" bestFit="1" customWidth="1"/>
  </cols>
  <sheetData>
    <row r="1" spans="1:8" x14ac:dyDescent="0.4">
      <c r="A1" t="s">
        <v>21</v>
      </c>
      <c r="F1" t="s">
        <v>30</v>
      </c>
    </row>
    <row r="2" spans="1:8" x14ac:dyDescent="0.4">
      <c r="A2" t="s">
        <v>22</v>
      </c>
      <c r="B2" s="1">
        <v>36175</v>
      </c>
    </row>
    <row r="3" spans="1:8" x14ac:dyDescent="0.4">
      <c r="A3" t="s">
        <v>23</v>
      </c>
      <c r="B3" s="1">
        <v>36196</v>
      </c>
      <c r="E3" s="3" t="s">
        <v>29</v>
      </c>
      <c r="F3" s="3"/>
      <c r="G3" s="3"/>
    </row>
    <row r="4" spans="1:8" x14ac:dyDescent="0.4">
      <c r="A4" t="s">
        <v>24</v>
      </c>
      <c r="B4" s="1">
        <v>36608</v>
      </c>
      <c r="E4" s="3">
        <v>1999</v>
      </c>
      <c r="F4" s="69">
        <f>COUNTIFS($B$2:$B$8,"&gt;="&amp;DATE(E4,1,1),$B$2:$B$8,"&lt;="&amp;DATE(E4,12,31))</f>
        <v>2</v>
      </c>
      <c r="G4" s="3">
        <f>COUNTIFS($B$2:$B$8,"&gt;="&amp;DATE(E4,1,1),$B$2:$B$8,"&lt;="&amp;DATE(E4,12,31))</f>
        <v>2</v>
      </c>
    </row>
    <row r="5" spans="1:8" x14ac:dyDescent="0.4">
      <c r="A5" t="s">
        <v>25</v>
      </c>
      <c r="B5" s="1">
        <v>36647</v>
      </c>
      <c r="E5" s="3">
        <v>2000</v>
      </c>
      <c r="F5" s="69">
        <f t="shared" ref="F5:F7" si="0">COUNTIFS($B$2:$B$8,"&gt;="&amp;DATE(E5,1,1),$B$2:$B$8,"&lt;="&amp;DATE(E5,12,31))</f>
        <v>4</v>
      </c>
      <c r="G5" s="3">
        <f t="shared" ref="G5:G7" si="1">COUNTIFS($B$2:$B$8,"&gt;="&amp;DATE(E5,1,1),$B$2:$B$8,"&lt;="&amp;DATE(E5,12,31))</f>
        <v>4</v>
      </c>
    </row>
    <row r="6" spans="1:8" x14ac:dyDescent="0.4">
      <c r="A6" t="s">
        <v>26</v>
      </c>
      <c r="B6" s="1">
        <v>36657</v>
      </c>
      <c r="E6" s="3">
        <v>2001</v>
      </c>
      <c r="F6" s="69">
        <f t="shared" si="0"/>
        <v>1</v>
      </c>
      <c r="G6" s="3">
        <f t="shared" si="1"/>
        <v>1</v>
      </c>
    </row>
    <row r="7" spans="1:8" x14ac:dyDescent="0.4">
      <c r="A7" t="s">
        <v>27</v>
      </c>
      <c r="B7" s="1">
        <v>36758</v>
      </c>
      <c r="E7" s="3">
        <v>2002</v>
      </c>
      <c r="F7" s="69">
        <f t="shared" si="0"/>
        <v>0</v>
      </c>
      <c r="G7" s="3">
        <f t="shared" si="1"/>
        <v>0</v>
      </c>
    </row>
    <row r="8" spans="1:8" x14ac:dyDescent="0.4">
      <c r="A8" t="s">
        <v>28</v>
      </c>
      <c r="B8" s="1">
        <v>36894</v>
      </c>
      <c r="D8" s="2"/>
    </row>
    <row r="12" spans="1:8" x14ac:dyDescent="0.4">
      <c r="A12" t="s">
        <v>31</v>
      </c>
      <c r="B12" t="s">
        <v>32</v>
      </c>
      <c r="C12" t="s">
        <v>33</v>
      </c>
      <c r="D12" t="s">
        <v>34</v>
      </c>
      <c r="G12" s="3" t="s">
        <v>33</v>
      </c>
      <c r="H12" s="3" t="s">
        <v>88</v>
      </c>
    </row>
    <row r="13" spans="1:8" x14ac:dyDescent="0.4">
      <c r="A13">
        <v>21045</v>
      </c>
      <c r="B13" t="s">
        <v>35</v>
      </c>
      <c r="C13" t="s">
        <v>43</v>
      </c>
      <c r="D13">
        <v>99</v>
      </c>
      <c r="G13" s="3" t="s">
        <v>43</v>
      </c>
      <c r="H13" s="3">
        <f>COUNTIF($C$13:$C$20,G13)</f>
        <v>4</v>
      </c>
    </row>
    <row r="14" spans="1:8" x14ac:dyDescent="0.4">
      <c r="A14">
        <v>21047</v>
      </c>
      <c r="B14" t="s">
        <v>36</v>
      </c>
      <c r="C14" t="s">
        <v>43</v>
      </c>
      <c r="D14">
        <v>110</v>
      </c>
      <c r="G14" s="3" t="s">
        <v>45</v>
      </c>
      <c r="H14" s="3">
        <f t="shared" ref="H14:H15" si="2">COUNTIF($C$13:$C$20,G14)</f>
        <v>2</v>
      </c>
    </row>
    <row r="15" spans="1:8" x14ac:dyDescent="0.4">
      <c r="A15">
        <v>21049</v>
      </c>
      <c r="B15" t="s">
        <v>37</v>
      </c>
      <c r="C15" t="s">
        <v>43</v>
      </c>
      <c r="D15">
        <v>112.5</v>
      </c>
      <c r="G15" s="3" t="s">
        <v>46</v>
      </c>
      <c r="H15" s="3">
        <f t="shared" si="2"/>
        <v>0</v>
      </c>
    </row>
    <row r="16" spans="1:8" x14ac:dyDescent="0.4">
      <c r="A16">
        <v>21051</v>
      </c>
      <c r="B16" t="s">
        <v>38</v>
      </c>
      <c r="C16" t="s">
        <v>44</v>
      </c>
      <c r="D16">
        <v>80</v>
      </c>
    </row>
    <row r="17" spans="1:4" x14ac:dyDescent="0.4">
      <c r="A17">
        <v>21053</v>
      </c>
      <c r="B17" t="s">
        <v>39</v>
      </c>
      <c r="C17" t="s">
        <v>43</v>
      </c>
      <c r="D17">
        <v>45</v>
      </c>
    </row>
    <row r="18" spans="1:4" x14ac:dyDescent="0.4">
      <c r="A18">
        <v>21055</v>
      </c>
      <c r="B18" t="s">
        <v>40</v>
      </c>
      <c r="C18" t="s">
        <v>44</v>
      </c>
      <c r="D18">
        <v>101</v>
      </c>
    </row>
    <row r="19" spans="1:4" x14ac:dyDescent="0.4">
      <c r="A19">
        <v>21057</v>
      </c>
      <c r="B19" t="s">
        <v>41</v>
      </c>
      <c r="C19" t="s">
        <v>45</v>
      </c>
      <c r="D19">
        <v>74</v>
      </c>
    </row>
    <row r="20" spans="1:4" x14ac:dyDescent="0.4">
      <c r="A20">
        <v>21059</v>
      </c>
      <c r="B20" t="s">
        <v>42</v>
      </c>
      <c r="C20" t="s">
        <v>45</v>
      </c>
      <c r="D20">
        <v>86</v>
      </c>
    </row>
    <row r="23" spans="1:4" x14ac:dyDescent="0.4">
      <c r="C23" t="s">
        <v>69</v>
      </c>
    </row>
    <row r="25" spans="1:4" x14ac:dyDescent="0.4">
      <c r="A25" t="s">
        <v>47</v>
      </c>
      <c r="B25" t="s">
        <v>54</v>
      </c>
      <c r="C25" t="s">
        <v>62</v>
      </c>
      <c r="D25" t="b">
        <f>COUNTIFS($A$25:$A$33,$A25,$B$25:$B$33,$B25,$C$25:$C$33,$C25)&gt;1</f>
        <v>0</v>
      </c>
    </row>
    <row r="26" spans="1:4" x14ac:dyDescent="0.4">
      <c r="A26" t="s">
        <v>48</v>
      </c>
      <c r="B26" t="s">
        <v>55</v>
      </c>
      <c r="C26" t="s">
        <v>63</v>
      </c>
      <c r="D26" t="b">
        <f t="shared" ref="D26:D33" si="3">COUNTIFS($A$25:$A$33,A26,$B$25:$B$33,B26,$C$25:$C$33,C26)&gt;1</f>
        <v>1</v>
      </c>
    </row>
    <row r="27" spans="1:4" x14ac:dyDescent="0.4">
      <c r="A27" t="s">
        <v>49</v>
      </c>
      <c r="B27" t="s">
        <v>56</v>
      </c>
      <c r="C27" t="s">
        <v>64</v>
      </c>
      <c r="D27" t="b">
        <f t="shared" si="3"/>
        <v>0</v>
      </c>
    </row>
    <row r="28" spans="1:4" x14ac:dyDescent="0.4">
      <c r="A28" t="s">
        <v>50</v>
      </c>
      <c r="B28" t="s">
        <v>57</v>
      </c>
      <c r="C28" t="s">
        <v>65</v>
      </c>
      <c r="D28" t="b">
        <f t="shared" si="3"/>
        <v>0</v>
      </c>
    </row>
    <row r="29" spans="1:4" x14ac:dyDescent="0.4">
      <c r="A29" t="s">
        <v>51</v>
      </c>
      <c r="B29" t="s">
        <v>58</v>
      </c>
      <c r="C29" t="s">
        <v>66</v>
      </c>
      <c r="D29" t="b">
        <f t="shared" si="3"/>
        <v>0</v>
      </c>
    </row>
    <row r="30" spans="1:4" x14ac:dyDescent="0.4">
      <c r="A30" t="s">
        <v>52</v>
      </c>
      <c r="B30" t="s">
        <v>59</v>
      </c>
      <c r="C30" t="s">
        <v>67</v>
      </c>
      <c r="D30" t="b">
        <f t="shared" si="3"/>
        <v>0</v>
      </c>
    </row>
    <row r="31" spans="1:4" x14ac:dyDescent="0.4">
      <c r="A31" t="s">
        <v>48</v>
      </c>
      <c r="B31" t="s">
        <v>55</v>
      </c>
      <c r="C31" t="s">
        <v>63</v>
      </c>
      <c r="D31" t="b">
        <f t="shared" si="3"/>
        <v>1</v>
      </c>
    </row>
    <row r="32" spans="1:4" x14ac:dyDescent="0.4">
      <c r="A32" t="s">
        <v>53</v>
      </c>
      <c r="B32" t="s">
        <v>60</v>
      </c>
      <c r="C32" t="s">
        <v>58</v>
      </c>
      <c r="D32" t="b">
        <f t="shared" si="3"/>
        <v>0</v>
      </c>
    </row>
    <row r="33" spans="1:4" x14ac:dyDescent="0.4">
      <c r="A33" t="s">
        <v>48</v>
      </c>
      <c r="B33" t="s">
        <v>61</v>
      </c>
      <c r="C33" t="s">
        <v>68</v>
      </c>
      <c r="D33" t="b">
        <f t="shared" si="3"/>
        <v>0</v>
      </c>
    </row>
    <row r="36" spans="1:4" x14ac:dyDescent="0.4">
      <c r="B36" t="s">
        <v>70</v>
      </c>
    </row>
    <row r="38" spans="1:4" x14ac:dyDescent="0.4">
      <c r="A38" t="s">
        <v>0</v>
      </c>
    </row>
    <row r="39" spans="1:4" x14ac:dyDescent="0.4">
      <c r="A39" t="s">
        <v>71</v>
      </c>
      <c r="C39" t="s">
        <v>73</v>
      </c>
      <c r="D39" s="3">
        <f>COUNTIFS($A$39:$A$44,"&lt;&gt;red",$A$39:$A$44,"&lt;&gt;blue")</f>
        <v>3</v>
      </c>
    </row>
    <row r="40" spans="1:4" x14ac:dyDescent="0.4">
      <c r="A40" t="s">
        <v>2</v>
      </c>
      <c r="C40" t="s">
        <v>74</v>
      </c>
      <c r="D40" s="3">
        <f>COUNTIFS($A$39:$A$44,"&lt;&gt;red",$A$39:$A$44,"&lt;&gt;green")</f>
        <v>2</v>
      </c>
    </row>
    <row r="41" spans="1:4" x14ac:dyDescent="0.4">
      <c r="A41" t="s">
        <v>3</v>
      </c>
      <c r="C41" t="s">
        <v>75</v>
      </c>
      <c r="D41" s="3">
        <f>COUNTIFS($A$39:$A$44,"&lt;&gt;blue",$A$39:$A$44,"&lt;&gt;green")</f>
        <v>3</v>
      </c>
    </row>
    <row r="42" spans="1:4" x14ac:dyDescent="0.4">
      <c r="A42" t="s">
        <v>71</v>
      </c>
    </row>
    <row r="43" spans="1:4" x14ac:dyDescent="0.4">
      <c r="A43" t="s">
        <v>3</v>
      </c>
    </row>
    <row r="44" spans="1:4" x14ac:dyDescent="0.4">
      <c r="A44" t="s">
        <v>72</v>
      </c>
    </row>
    <row r="46" spans="1:4" x14ac:dyDescent="0.4">
      <c r="C46" t="s">
        <v>84</v>
      </c>
      <c r="D46" t="s">
        <v>88</v>
      </c>
    </row>
    <row r="47" spans="1:4" x14ac:dyDescent="0.4">
      <c r="A47" t="s">
        <v>76</v>
      </c>
      <c r="C47" t="s">
        <v>85</v>
      </c>
      <c r="D47" s="3">
        <f>COUNTIF($A$47:$A$54,"*a*")</f>
        <v>6</v>
      </c>
    </row>
    <row r="48" spans="1:4" x14ac:dyDescent="0.4">
      <c r="A48" t="s">
        <v>77</v>
      </c>
      <c r="C48" t="s">
        <v>87</v>
      </c>
      <c r="D48" s="3">
        <f>COUNTIF($A$47:$A$54,C48)</f>
        <v>4</v>
      </c>
    </row>
    <row r="49" spans="1:5" x14ac:dyDescent="0.4">
      <c r="A49" t="s">
        <v>78</v>
      </c>
      <c r="C49" t="s">
        <v>86</v>
      </c>
      <c r="D49" s="3">
        <f>COUNTIF($A$47:$A$54,"*-S*")</f>
        <v>3</v>
      </c>
    </row>
    <row r="50" spans="1:5" x14ac:dyDescent="0.4">
      <c r="A50" t="s">
        <v>79</v>
      </c>
    </row>
    <row r="51" spans="1:5" x14ac:dyDescent="0.4">
      <c r="A51" t="s">
        <v>80</v>
      </c>
    </row>
    <row r="52" spans="1:5" x14ac:dyDescent="0.4">
      <c r="A52" t="s">
        <v>81</v>
      </c>
    </row>
    <row r="53" spans="1:5" x14ac:dyDescent="0.4">
      <c r="A53" t="s">
        <v>82</v>
      </c>
    </row>
    <row r="54" spans="1:5" x14ac:dyDescent="0.4">
      <c r="A54" t="s">
        <v>83</v>
      </c>
    </row>
    <row r="63" spans="1:5" x14ac:dyDescent="0.4">
      <c r="A63" t="s">
        <v>89</v>
      </c>
      <c r="B63">
        <f>COUNTIF($A$63:A63,A63)</f>
        <v>1</v>
      </c>
      <c r="C63">
        <f>COUNTIF($A$63:$A$71,A63)</f>
        <v>2</v>
      </c>
      <c r="E63">
        <f>SUM(--(FREQUENCY(B63:B71,B63:B71)&gt;0))</f>
        <v>2</v>
      </c>
    </row>
    <row r="64" spans="1:5" x14ac:dyDescent="0.4">
      <c r="A64" t="s">
        <v>90</v>
      </c>
      <c r="B64">
        <f>COUNTIF($A$63:A64,A64)</f>
        <v>1</v>
      </c>
      <c r="C64">
        <f t="shared" ref="C64:C71" si="4">COUNTIF($A$63:$A$71,A64)</f>
        <v>2</v>
      </c>
    </row>
    <row r="65" spans="1:12" x14ac:dyDescent="0.4">
      <c r="A65" t="s">
        <v>91</v>
      </c>
      <c r="B65">
        <f>COUNTIF($A$63:A65,A65)</f>
        <v>1</v>
      </c>
      <c r="C65">
        <f t="shared" si="4"/>
        <v>2</v>
      </c>
    </row>
    <row r="66" spans="1:12" x14ac:dyDescent="0.4">
      <c r="A66" t="s">
        <v>92</v>
      </c>
      <c r="B66">
        <f>COUNTIF($A$63:A66,A66)</f>
        <v>1</v>
      </c>
      <c r="C66">
        <f t="shared" si="4"/>
        <v>1</v>
      </c>
    </row>
    <row r="67" spans="1:12" x14ac:dyDescent="0.4">
      <c r="A67" t="s">
        <v>89</v>
      </c>
      <c r="B67">
        <f>COUNTIF($A$63:A67,A67)</f>
        <v>2</v>
      </c>
      <c r="C67">
        <f t="shared" si="4"/>
        <v>2</v>
      </c>
    </row>
    <row r="68" spans="1:12" x14ac:dyDescent="0.4">
      <c r="A68" t="s">
        <v>90</v>
      </c>
      <c r="B68">
        <f>COUNTIF($A$63:A68,A68)</f>
        <v>2</v>
      </c>
      <c r="C68">
        <f t="shared" si="4"/>
        <v>2</v>
      </c>
    </row>
    <row r="69" spans="1:12" x14ac:dyDescent="0.4">
      <c r="A69" t="s">
        <v>91</v>
      </c>
      <c r="B69">
        <f>COUNTIF($A$63:A69,A69)</f>
        <v>2</v>
      </c>
      <c r="C69">
        <f t="shared" si="4"/>
        <v>2</v>
      </c>
    </row>
    <row r="70" spans="1:12" x14ac:dyDescent="0.4">
      <c r="A70" t="s">
        <v>93</v>
      </c>
      <c r="B70">
        <f>COUNTIF($A$63:A70,A70)</f>
        <v>1</v>
      </c>
      <c r="C70">
        <f t="shared" si="4"/>
        <v>1</v>
      </c>
    </row>
    <row r="71" spans="1:12" x14ac:dyDescent="0.4">
      <c r="A71" t="s">
        <v>94</v>
      </c>
      <c r="B71">
        <f>COUNTIF($A$63:A71,A71)</f>
        <v>1</v>
      </c>
      <c r="C71">
        <f t="shared" si="4"/>
        <v>1</v>
      </c>
    </row>
    <row r="73" spans="1:12" x14ac:dyDescent="0.4">
      <c r="B73" s="51" t="s">
        <v>96</v>
      </c>
      <c r="C73" s="51"/>
      <c r="D73" s="51"/>
      <c r="E73" s="51"/>
      <c r="F73" s="51"/>
      <c r="H73" s="51" t="s">
        <v>95</v>
      </c>
      <c r="I73" s="51"/>
      <c r="J73" s="51"/>
      <c r="K73" s="51"/>
      <c r="L73" s="51"/>
    </row>
    <row r="74" spans="1:12" x14ac:dyDescent="0.4">
      <c r="A74" t="s">
        <v>95</v>
      </c>
      <c r="B74" s="3">
        <v>100</v>
      </c>
      <c r="C74" s="3">
        <v>200</v>
      </c>
      <c r="D74" s="3">
        <v>300</v>
      </c>
      <c r="E74" s="3">
        <v>400</v>
      </c>
      <c r="F74" s="3">
        <v>500</v>
      </c>
    </row>
    <row r="75" spans="1:12" x14ac:dyDescent="0.4">
      <c r="A75" s="3">
        <v>100</v>
      </c>
      <c r="B75">
        <v>300</v>
      </c>
      <c r="C75">
        <v>600</v>
      </c>
      <c r="D75">
        <v>900</v>
      </c>
      <c r="E75">
        <v>1200</v>
      </c>
      <c r="F75">
        <v>1500</v>
      </c>
      <c r="G75" t="s">
        <v>98</v>
      </c>
      <c r="H75" t="s">
        <v>95</v>
      </c>
    </row>
    <row r="76" spans="1:12" x14ac:dyDescent="0.4">
      <c r="A76" s="3">
        <v>200</v>
      </c>
      <c r="B76">
        <v>600</v>
      </c>
      <c r="C76">
        <v>1200</v>
      </c>
      <c r="D76">
        <v>1800</v>
      </c>
      <c r="E76">
        <v>2400</v>
      </c>
      <c r="F76">
        <v>3000</v>
      </c>
      <c r="H76" t="s">
        <v>96</v>
      </c>
    </row>
    <row r="77" spans="1:12" x14ac:dyDescent="0.4">
      <c r="A77" s="3">
        <v>300</v>
      </c>
      <c r="B77">
        <v>900</v>
      </c>
      <c r="C77">
        <v>1800</v>
      </c>
      <c r="D77">
        <v>2700</v>
      </c>
      <c r="E77">
        <v>3600</v>
      </c>
      <c r="F77">
        <v>4500</v>
      </c>
      <c r="H77" t="s">
        <v>97</v>
      </c>
    </row>
    <row r="78" spans="1:12" x14ac:dyDescent="0.4">
      <c r="A78" s="3">
        <v>400</v>
      </c>
      <c r="B78">
        <v>1200</v>
      </c>
      <c r="C78">
        <v>2400</v>
      </c>
      <c r="D78">
        <v>3600</v>
      </c>
      <c r="E78">
        <v>4800</v>
      </c>
      <c r="F78">
        <v>6000</v>
      </c>
    </row>
    <row r="79" spans="1:12" x14ac:dyDescent="0.4">
      <c r="A79" s="3">
        <v>500</v>
      </c>
      <c r="B79">
        <v>1500</v>
      </c>
      <c r="C79">
        <v>3000</v>
      </c>
      <c r="D79">
        <v>4500</v>
      </c>
      <c r="E79">
        <v>6000</v>
      </c>
      <c r="F79">
        <v>7500</v>
      </c>
    </row>
    <row r="83" spans="1:7" x14ac:dyDescent="0.4">
      <c r="A83" t="s">
        <v>99</v>
      </c>
      <c r="B83" t="s">
        <v>21</v>
      </c>
      <c r="C83" t="s">
        <v>100</v>
      </c>
      <c r="D83" t="s">
        <v>101</v>
      </c>
      <c r="F83" t="s">
        <v>111</v>
      </c>
      <c r="G83">
        <v>8</v>
      </c>
    </row>
    <row r="84" spans="1:7" x14ac:dyDescent="0.4">
      <c r="A84">
        <v>1</v>
      </c>
      <c r="B84" t="s">
        <v>102</v>
      </c>
      <c r="C84">
        <v>4879</v>
      </c>
      <c r="D84">
        <v>0</v>
      </c>
      <c r="F84" t="s">
        <v>21</v>
      </c>
      <c r="G84" t="str">
        <f>VLOOKUP($G$83,$A$84:$D$92,MATCH($F84,$A$83:$D$83,0))</f>
        <v>neptune</v>
      </c>
    </row>
    <row r="85" spans="1:7" x14ac:dyDescent="0.4">
      <c r="A85">
        <v>2</v>
      </c>
      <c r="B85" t="s">
        <v>103</v>
      </c>
      <c r="C85">
        <v>12104</v>
      </c>
      <c r="D85">
        <v>0</v>
      </c>
      <c r="F85" t="s">
        <v>100</v>
      </c>
      <c r="G85">
        <f t="shared" ref="G85:G86" si="5">VLOOKUP($G$83,$A$84:$D$92,MATCH($F85,$A$83:$D$83,0))</f>
        <v>49528</v>
      </c>
    </row>
    <row r="86" spans="1:7" x14ac:dyDescent="0.4">
      <c r="A86">
        <v>3</v>
      </c>
      <c r="B86" t="s">
        <v>104</v>
      </c>
      <c r="C86">
        <v>12756</v>
      </c>
      <c r="D86">
        <v>1</v>
      </c>
      <c r="F86" t="s">
        <v>101</v>
      </c>
      <c r="G86">
        <f t="shared" si="5"/>
        <v>13</v>
      </c>
    </row>
    <row r="87" spans="1:7" x14ac:dyDescent="0.4">
      <c r="A87">
        <v>4</v>
      </c>
      <c r="B87" t="s">
        <v>105</v>
      </c>
      <c r="C87">
        <v>6792</v>
      </c>
      <c r="D87">
        <v>2</v>
      </c>
    </row>
    <row r="88" spans="1:7" x14ac:dyDescent="0.4">
      <c r="A88">
        <v>5</v>
      </c>
      <c r="B88" t="s">
        <v>106</v>
      </c>
      <c r="C88">
        <v>142984</v>
      </c>
      <c r="D88">
        <v>67</v>
      </c>
    </row>
    <row r="89" spans="1:7" x14ac:dyDescent="0.4">
      <c r="A89">
        <v>6</v>
      </c>
      <c r="B89" t="s">
        <v>107</v>
      </c>
      <c r="C89">
        <v>120536</v>
      </c>
      <c r="D89">
        <v>200</v>
      </c>
    </row>
    <row r="90" spans="1:7" x14ac:dyDescent="0.4">
      <c r="A90">
        <v>7</v>
      </c>
      <c r="B90" t="s">
        <v>108</v>
      </c>
      <c r="C90">
        <v>51118</v>
      </c>
      <c r="D90">
        <v>27</v>
      </c>
    </row>
    <row r="91" spans="1:7" x14ac:dyDescent="0.4">
      <c r="A91">
        <v>8</v>
      </c>
      <c r="B91" t="s">
        <v>109</v>
      </c>
      <c r="C91">
        <v>49528</v>
      </c>
      <c r="D91">
        <v>13</v>
      </c>
    </row>
    <row r="92" spans="1:7" x14ac:dyDescent="0.4">
      <c r="A92">
        <v>9</v>
      </c>
      <c r="B92" t="s">
        <v>110</v>
      </c>
      <c r="C92">
        <v>23036</v>
      </c>
      <c r="D92">
        <v>5</v>
      </c>
    </row>
  </sheetData>
  <mergeCells count="2">
    <mergeCell ref="B73:F73"/>
    <mergeCell ref="H73:L73"/>
  </mergeCells>
  <conditionalFormatting sqref="A25:C33 B36">
    <cfRule type="expression" dxfId="0" priority="1">
      <formula>COUNTIFS($A$25:$A$33,$A25,$B$25:$B$33,$B25,$C$25:$C$33,$C25)&gt;1</formula>
    </cfRule>
  </conditionalFormatting>
  <dataValidations count="1">
    <dataValidation type="list" allowBlank="1" showInputMessage="1" showErrorMessage="1" sqref="G83" xr:uid="{00000000-0002-0000-0100-000000000000}">
      <formula1>$A$84:$A$92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"/>
  <sheetViews>
    <sheetView workbookViewId="0">
      <selection activeCell="D2" sqref="D2:D6"/>
    </sheetView>
  </sheetViews>
  <sheetFormatPr defaultRowHeight="14.6" x14ac:dyDescent="0.4"/>
  <cols>
    <col min="1" max="1" width="12.3828125" customWidth="1"/>
  </cols>
  <sheetData>
    <row r="1" spans="1:5" x14ac:dyDescent="0.4">
      <c r="A1" s="52" t="s">
        <v>112</v>
      </c>
      <c r="B1" s="52"/>
      <c r="E1" t="s">
        <v>118</v>
      </c>
    </row>
    <row r="2" spans="1:5" x14ac:dyDescent="0.4">
      <c r="A2" s="4" t="s">
        <v>113</v>
      </c>
      <c r="B2">
        <f>LEN(A2)-LEN(SUBSTITUTE(SUBSTITUTE(A2,"A",""),"a",""))</f>
        <v>3</v>
      </c>
      <c r="D2" s="3">
        <f>LEN(A2)-LEN(SUBSTITUTE(SUBSTITUTE(A2,"A",""),"a",""))</f>
        <v>3</v>
      </c>
    </row>
    <row r="3" spans="1:5" x14ac:dyDescent="0.4">
      <c r="A3" s="4" t="s">
        <v>114</v>
      </c>
      <c r="B3">
        <f t="shared" ref="B3:B6" si="0">LEN(A3)-LEN(SUBSTITUTE(SUBSTITUTE(A3,"A",""),"a",""))</f>
        <v>1</v>
      </c>
      <c r="D3" s="3">
        <f t="shared" ref="D3:D6" si="1">LEN(A3)-LEN(SUBSTITUTE(SUBSTITUTE(A3,"A",""),"a",""))</f>
        <v>1</v>
      </c>
    </row>
    <row r="4" spans="1:5" x14ac:dyDescent="0.4">
      <c r="A4" s="4" t="s">
        <v>115</v>
      </c>
      <c r="B4">
        <f t="shared" si="0"/>
        <v>1</v>
      </c>
      <c r="D4" s="3">
        <f t="shared" si="1"/>
        <v>1</v>
      </c>
    </row>
    <row r="5" spans="1:5" x14ac:dyDescent="0.4">
      <c r="A5" s="4" t="s">
        <v>116</v>
      </c>
      <c r="B5">
        <f t="shared" si="0"/>
        <v>1</v>
      </c>
      <c r="D5" s="3">
        <f t="shared" si="1"/>
        <v>1</v>
      </c>
    </row>
    <row r="6" spans="1:5" x14ac:dyDescent="0.4">
      <c r="A6" s="4" t="s">
        <v>117</v>
      </c>
      <c r="B6">
        <f t="shared" si="0"/>
        <v>6</v>
      </c>
      <c r="D6" s="3">
        <f t="shared" si="1"/>
        <v>6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22"/>
  <sheetViews>
    <sheetView workbookViewId="0">
      <selection activeCell="G2" sqref="G2:G7"/>
    </sheetView>
  </sheetViews>
  <sheetFormatPr defaultRowHeight="14.6" x14ac:dyDescent="0.4"/>
  <cols>
    <col min="1" max="1" width="21.84375" bestFit="1" customWidth="1"/>
    <col min="6" max="6" width="11.15234375" bestFit="1" customWidth="1"/>
    <col min="7" max="7" width="10.3828125" customWidth="1"/>
  </cols>
  <sheetData>
    <row r="1" spans="1:8" x14ac:dyDescent="0.4">
      <c r="A1" s="5" t="s">
        <v>119</v>
      </c>
      <c r="B1" s="5" t="s">
        <v>120</v>
      </c>
      <c r="F1" s="5" t="s">
        <v>84</v>
      </c>
      <c r="G1" s="8" t="s">
        <v>348</v>
      </c>
    </row>
    <row r="2" spans="1:8" x14ac:dyDescent="0.4">
      <c r="A2" s="4" t="s">
        <v>121</v>
      </c>
      <c r="B2" s="4">
        <v>7</v>
      </c>
      <c r="F2" s="6" t="s">
        <v>342</v>
      </c>
      <c r="G2" s="70">
        <f>COUNTIFS(B:B,"&gt;="&amp;LEFT(F2,FIND("-",F2)-1),B:B,"&lt;="&amp;RIGHT(F2,LEN(F2)-FIND("-",F2)))</f>
        <v>38</v>
      </c>
      <c r="H2">
        <f>COUNTIFS($B$2:$B$222,"&gt;="&amp;LEFT(F2,FIND("-",F2)-1),$B$2:$B$222,"&lt;="&amp;RIGHT(F2,LEN(F2)-FIND("-",F2)))</f>
        <v>38</v>
      </c>
    </row>
    <row r="3" spans="1:8" x14ac:dyDescent="0.4">
      <c r="A3" s="4" t="s">
        <v>122</v>
      </c>
      <c r="B3" s="4">
        <v>12</v>
      </c>
      <c r="F3" s="6" t="s">
        <v>343</v>
      </c>
      <c r="G3" s="70">
        <f t="shared" ref="G3:G6" si="0">COUNTIFS(B:B,"&gt;="&amp;LEFT(F3,FIND("-",F3)-1),B:B,"&lt;="&amp;RIGHT(F3,LEN(F3)-FIND("-",F3)))</f>
        <v>40</v>
      </c>
      <c r="H3">
        <f t="shared" ref="H3:H6" si="1">COUNTIFS($B$2:$B$222,"&gt;="&amp;LEFT(F3,FIND("-",F3)-1),$B$2:$B$222,"&lt;="&amp;RIGHT(F3,LEN(F3)-FIND("-",F3)))</f>
        <v>40</v>
      </c>
    </row>
    <row r="4" spans="1:8" x14ac:dyDescent="0.4">
      <c r="A4" s="4" t="s">
        <v>123</v>
      </c>
      <c r="B4" s="4">
        <v>2</v>
      </c>
      <c r="F4" s="6" t="s">
        <v>344</v>
      </c>
      <c r="G4" s="70">
        <f t="shared" si="0"/>
        <v>42</v>
      </c>
      <c r="H4">
        <f t="shared" si="1"/>
        <v>42</v>
      </c>
    </row>
    <row r="5" spans="1:8" x14ac:dyDescent="0.4">
      <c r="A5" s="4" t="s">
        <v>124</v>
      </c>
      <c r="B5" s="4">
        <v>11</v>
      </c>
      <c r="F5" s="6" t="s">
        <v>345</v>
      </c>
      <c r="G5" s="70">
        <f t="shared" si="0"/>
        <v>49</v>
      </c>
      <c r="H5">
        <f t="shared" si="1"/>
        <v>49</v>
      </c>
    </row>
    <row r="6" spans="1:8" x14ac:dyDescent="0.4">
      <c r="A6" s="4" t="s">
        <v>125</v>
      </c>
      <c r="B6" s="4">
        <v>9</v>
      </c>
      <c r="F6" s="6" t="s">
        <v>346</v>
      </c>
      <c r="G6" s="70">
        <f t="shared" si="0"/>
        <v>52</v>
      </c>
      <c r="H6">
        <f t="shared" si="1"/>
        <v>52</v>
      </c>
    </row>
    <row r="7" spans="1:8" x14ac:dyDescent="0.4">
      <c r="A7" s="4" t="s">
        <v>126</v>
      </c>
      <c r="B7" s="4">
        <v>11</v>
      </c>
      <c r="F7" s="7" t="s">
        <v>347</v>
      </c>
      <c r="G7" s="11">
        <f>SUM(G2:G6)</f>
        <v>221</v>
      </c>
      <c r="H7" s="4"/>
    </row>
    <row r="8" spans="1:8" x14ac:dyDescent="0.4">
      <c r="A8" s="4" t="s">
        <v>127</v>
      </c>
      <c r="B8" s="4">
        <v>9</v>
      </c>
    </row>
    <row r="9" spans="1:8" x14ac:dyDescent="0.4">
      <c r="A9" s="4" t="s">
        <v>128</v>
      </c>
      <c r="B9" s="4">
        <v>8</v>
      </c>
    </row>
    <row r="10" spans="1:8" x14ac:dyDescent="0.4">
      <c r="A10" s="4" t="s">
        <v>129</v>
      </c>
      <c r="B10" s="4">
        <v>8</v>
      </c>
    </row>
    <row r="11" spans="1:8" x14ac:dyDescent="0.4">
      <c r="A11" s="4" t="s">
        <v>130</v>
      </c>
      <c r="B11" s="4">
        <v>6</v>
      </c>
    </row>
    <row r="12" spans="1:8" x14ac:dyDescent="0.4">
      <c r="A12" s="4" t="s">
        <v>131</v>
      </c>
      <c r="B12" s="4">
        <v>3</v>
      </c>
    </row>
    <row r="13" spans="1:8" x14ac:dyDescent="0.4">
      <c r="A13" s="4" t="s">
        <v>132</v>
      </c>
      <c r="B13" s="4">
        <v>15</v>
      </c>
    </row>
    <row r="14" spans="1:8" x14ac:dyDescent="0.4">
      <c r="A14" s="4" t="s">
        <v>133</v>
      </c>
      <c r="B14" s="4">
        <v>9</v>
      </c>
    </row>
    <row r="15" spans="1:8" x14ac:dyDescent="0.4">
      <c r="A15" s="4" t="s">
        <v>134</v>
      </c>
      <c r="B15" s="4">
        <v>6</v>
      </c>
    </row>
    <row r="16" spans="1:8" x14ac:dyDescent="0.4">
      <c r="A16" s="4" t="s">
        <v>135</v>
      </c>
      <c r="B16" s="4">
        <v>11</v>
      </c>
    </row>
    <row r="17" spans="1:10" x14ac:dyDescent="0.4">
      <c r="A17" s="4" t="s">
        <v>136</v>
      </c>
      <c r="B17" s="4">
        <v>12</v>
      </c>
    </row>
    <row r="18" spans="1:10" x14ac:dyDescent="0.4">
      <c r="A18" s="4" t="s">
        <v>137</v>
      </c>
      <c r="B18" s="4">
        <v>15</v>
      </c>
    </row>
    <row r="19" spans="1:10" x14ac:dyDescent="0.4">
      <c r="A19" s="4" t="s">
        <v>138</v>
      </c>
      <c r="B19" s="4">
        <v>14</v>
      </c>
    </row>
    <row r="20" spans="1:10" x14ac:dyDescent="0.4">
      <c r="A20" s="4" t="s">
        <v>139</v>
      </c>
      <c r="B20" s="4">
        <v>2</v>
      </c>
      <c r="J20" t="str">
        <f>LEFT(F2,FIND("-",F2)-1)</f>
        <v>1</v>
      </c>
    </row>
    <row r="21" spans="1:10" x14ac:dyDescent="0.4">
      <c r="A21" s="4" t="s">
        <v>140</v>
      </c>
      <c r="B21" s="4">
        <v>11</v>
      </c>
      <c r="J21" t="str">
        <f>LEFT(F3,FIND("-",F3)-1)</f>
        <v>4</v>
      </c>
    </row>
    <row r="22" spans="1:10" x14ac:dyDescent="0.4">
      <c r="A22" s="4" t="s">
        <v>141</v>
      </c>
      <c r="B22" s="4">
        <v>8</v>
      </c>
      <c r="J22" t="str">
        <f>LEFT(F4,FIND("-",F4)-1)</f>
        <v>7</v>
      </c>
    </row>
    <row r="23" spans="1:10" x14ac:dyDescent="0.4">
      <c r="A23" s="4" t="s">
        <v>142</v>
      </c>
      <c r="B23" s="4">
        <v>2</v>
      </c>
    </row>
    <row r="24" spans="1:10" x14ac:dyDescent="0.4">
      <c r="A24" s="4" t="s">
        <v>143</v>
      </c>
      <c r="B24" s="4">
        <v>8</v>
      </c>
    </row>
    <row r="25" spans="1:10" x14ac:dyDescent="0.4">
      <c r="A25" s="4" t="s">
        <v>144</v>
      </c>
      <c r="B25" s="4">
        <v>10</v>
      </c>
    </row>
    <row r="26" spans="1:10" x14ac:dyDescent="0.4">
      <c r="A26" s="4" t="s">
        <v>145</v>
      </c>
      <c r="B26" s="4">
        <v>1</v>
      </c>
    </row>
    <row r="27" spans="1:10" x14ac:dyDescent="0.4">
      <c r="A27" s="4" t="s">
        <v>146</v>
      </c>
      <c r="B27" s="4">
        <v>13</v>
      </c>
    </row>
    <row r="28" spans="1:10" x14ac:dyDescent="0.4">
      <c r="A28" s="4" t="s">
        <v>147</v>
      </c>
      <c r="B28" s="4">
        <v>12</v>
      </c>
    </row>
    <row r="29" spans="1:10" x14ac:dyDescent="0.4">
      <c r="A29" s="4" t="s">
        <v>148</v>
      </c>
      <c r="B29" s="4">
        <v>12</v>
      </c>
    </row>
    <row r="30" spans="1:10" x14ac:dyDescent="0.4">
      <c r="A30" s="4" t="s">
        <v>149</v>
      </c>
      <c r="B30" s="4">
        <v>1</v>
      </c>
    </row>
    <row r="31" spans="1:10" x14ac:dyDescent="0.4">
      <c r="A31" s="4" t="s">
        <v>150</v>
      </c>
      <c r="B31" s="4">
        <v>5</v>
      </c>
    </row>
    <row r="32" spans="1:10" x14ac:dyDescent="0.4">
      <c r="A32" s="4" t="s">
        <v>151</v>
      </c>
      <c r="B32" s="4">
        <v>5</v>
      </c>
    </row>
    <row r="33" spans="1:2" x14ac:dyDescent="0.4">
      <c r="A33" s="4" t="s">
        <v>152</v>
      </c>
      <c r="B33" s="4">
        <v>8</v>
      </c>
    </row>
    <row r="34" spans="1:2" x14ac:dyDescent="0.4">
      <c r="A34" s="4" t="s">
        <v>153</v>
      </c>
      <c r="B34" s="4">
        <v>11</v>
      </c>
    </row>
    <row r="35" spans="1:2" x14ac:dyDescent="0.4">
      <c r="A35" s="4" t="s">
        <v>154</v>
      </c>
      <c r="B35" s="4">
        <v>6</v>
      </c>
    </row>
    <row r="36" spans="1:2" x14ac:dyDescent="0.4">
      <c r="A36" s="4" t="s">
        <v>155</v>
      </c>
      <c r="B36" s="4">
        <v>14</v>
      </c>
    </row>
    <row r="37" spans="1:2" x14ac:dyDescent="0.4">
      <c r="A37" s="4" t="s">
        <v>156</v>
      </c>
      <c r="B37" s="4">
        <v>14</v>
      </c>
    </row>
    <row r="38" spans="1:2" x14ac:dyDescent="0.4">
      <c r="A38" s="4" t="s">
        <v>157</v>
      </c>
      <c r="B38" s="4">
        <v>10</v>
      </c>
    </row>
    <row r="39" spans="1:2" x14ac:dyDescent="0.4">
      <c r="A39" s="4" t="s">
        <v>158</v>
      </c>
      <c r="B39" s="4">
        <v>5</v>
      </c>
    </row>
    <row r="40" spans="1:2" x14ac:dyDescent="0.4">
      <c r="A40" s="4" t="s">
        <v>159</v>
      </c>
      <c r="B40" s="4">
        <v>8</v>
      </c>
    </row>
    <row r="41" spans="1:2" x14ac:dyDescent="0.4">
      <c r="A41" s="4" t="s">
        <v>160</v>
      </c>
      <c r="B41" s="4">
        <v>9</v>
      </c>
    </row>
    <row r="42" spans="1:2" x14ac:dyDescent="0.4">
      <c r="A42" s="4" t="s">
        <v>161</v>
      </c>
      <c r="B42" s="4">
        <v>8</v>
      </c>
    </row>
    <row r="43" spans="1:2" x14ac:dyDescent="0.4">
      <c r="A43" s="4" t="s">
        <v>162</v>
      </c>
      <c r="B43" s="4">
        <v>15</v>
      </c>
    </row>
    <row r="44" spans="1:2" x14ac:dyDescent="0.4">
      <c r="A44" s="4" t="s">
        <v>163</v>
      </c>
      <c r="B44" s="4">
        <v>9</v>
      </c>
    </row>
    <row r="45" spans="1:2" x14ac:dyDescent="0.4">
      <c r="A45" s="4" t="s">
        <v>164</v>
      </c>
      <c r="B45" s="4">
        <v>1</v>
      </c>
    </row>
    <row r="46" spans="1:2" x14ac:dyDescent="0.4">
      <c r="A46" s="4" t="s">
        <v>165</v>
      </c>
      <c r="B46" s="4">
        <v>11</v>
      </c>
    </row>
    <row r="47" spans="1:2" x14ac:dyDescent="0.4">
      <c r="A47" s="4" t="s">
        <v>166</v>
      </c>
      <c r="B47" s="4">
        <v>4</v>
      </c>
    </row>
    <row r="48" spans="1:2" x14ac:dyDescent="0.4">
      <c r="A48" s="4" t="s">
        <v>167</v>
      </c>
      <c r="B48" s="4">
        <v>8</v>
      </c>
    </row>
    <row r="49" spans="1:2" x14ac:dyDescent="0.4">
      <c r="A49" s="4" t="s">
        <v>168</v>
      </c>
      <c r="B49" s="4">
        <v>3</v>
      </c>
    </row>
    <row r="50" spans="1:2" x14ac:dyDescent="0.4">
      <c r="A50" s="4" t="s">
        <v>169</v>
      </c>
      <c r="B50" s="4">
        <v>10</v>
      </c>
    </row>
    <row r="51" spans="1:2" x14ac:dyDescent="0.4">
      <c r="A51" s="4" t="s">
        <v>170</v>
      </c>
      <c r="B51" s="4">
        <v>5</v>
      </c>
    </row>
    <row r="52" spans="1:2" x14ac:dyDescent="0.4">
      <c r="A52" s="4" t="s">
        <v>171</v>
      </c>
      <c r="B52" s="4">
        <v>1</v>
      </c>
    </row>
    <row r="53" spans="1:2" x14ac:dyDescent="0.4">
      <c r="A53" s="4" t="s">
        <v>172</v>
      </c>
      <c r="B53" s="4">
        <v>2</v>
      </c>
    </row>
    <row r="54" spans="1:2" x14ac:dyDescent="0.4">
      <c r="A54" s="4" t="s">
        <v>173</v>
      </c>
      <c r="B54" s="4">
        <v>7</v>
      </c>
    </row>
    <row r="55" spans="1:2" x14ac:dyDescent="0.4">
      <c r="A55" s="4" t="s">
        <v>174</v>
      </c>
      <c r="B55" s="4">
        <v>4</v>
      </c>
    </row>
    <row r="56" spans="1:2" x14ac:dyDescent="0.4">
      <c r="A56" s="4" t="s">
        <v>175</v>
      </c>
      <c r="B56" s="4">
        <v>15</v>
      </c>
    </row>
    <row r="57" spans="1:2" x14ac:dyDescent="0.4">
      <c r="A57" s="4" t="s">
        <v>176</v>
      </c>
      <c r="B57" s="4">
        <v>15</v>
      </c>
    </row>
    <row r="58" spans="1:2" x14ac:dyDescent="0.4">
      <c r="A58" s="4" t="s">
        <v>177</v>
      </c>
      <c r="B58" s="4">
        <v>3</v>
      </c>
    </row>
    <row r="59" spans="1:2" x14ac:dyDescent="0.4">
      <c r="A59" s="4" t="s">
        <v>178</v>
      </c>
      <c r="B59" s="4">
        <v>13</v>
      </c>
    </row>
    <row r="60" spans="1:2" x14ac:dyDescent="0.4">
      <c r="A60" s="4" t="s">
        <v>179</v>
      </c>
      <c r="B60" s="4">
        <v>14</v>
      </c>
    </row>
    <row r="61" spans="1:2" x14ac:dyDescent="0.4">
      <c r="A61" s="4" t="s">
        <v>180</v>
      </c>
      <c r="B61" s="4">
        <v>10</v>
      </c>
    </row>
    <row r="62" spans="1:2" x14ac:dyDescent="0.4">
      <c r="A62" s="4" t="s">
        <v>181</v>
      </c>
      <c r="B62" s="4">
        <v>8</v>
      </c>
    </row>
    <row r="63" spans="1:2" x14ac:dyDescent="0.4">
      <c r="A63" s="4" t="s">
        <v>182</v>
      </c>
      <c r="B63" s="4">
        <v>1</v>
      </c>
    </row>
    <row r="64" spans="1:2" x14ac:dyDescent="0.4">
      <c r="A64" s="4" t="s">
        <v>183</v>
      </c>
      <c r="B64" s="4">
        <v>5</v>
      </c>
    </row>
    <row r="65" spans="1:2" x14ac:dyDescent="0.4">
      <c r="A65" s="4" t="s">
        <v>184</v>
      </c>
      <c r="B65" s="4">
        <v>15</v>
      </c>
    </row>
    <row r="66" spans="1:2" x14ac:dyDescent="0.4">
      <c r="A66" s="4" t="s">
        <v>185</v>
      </c>
      <c r="B66" s="4">
        <v>3</v>
      </c>
    </row>
    <row r="67" spans="1:2" x14ac:dyDescent="0.4">
      <c r="A67" s="4" t="s">
        <v>186</v>
      </c>
      <c r="B67" s="4">
        <v>7</v>
      </c>
    </row>
    <row r="68" spans="1:2" x14ac:dyDescent="0.4">
      <c r="A68" s="4" t="s">
        <v>187</v>
      </c>
      <c r="B68" s="4">
        <v>1</v>
      </c>
    </row>
    <row r="69" spans="1:2" x14ac:dyDescent="0.4">
      <c r="A69" s="4" t="s">
        <v>188</v>
      </c>
      <c r="B69" s="4">
        <v>15</v>
      </c>
    </row>
    <row r="70" spans="1:2" x14ac:dyDescent="0.4">
      <c r="A70" s="4" t="s">
        <v>189</v>
      </c>
      <c r="B70" s="4">
        <v>12</v>
      </c>
    </row>
    <row r="71" spans="1:2" x14ac:dyDescent="0.4">
      <c r="A71" s="4" t="s">
        <v>190</v>
      </c>
      <c r="B71" s="4">
        <v>10</v>
      </c>
    </row>
    <row r="72" spans="1:2" x14ac:dyDescent="0.4">
      <c r="A72" s="4" t="s">
        <v>191</v>
      </c>
      <c r="B72" s="4">
        <v>5</v>
      </c>
    </row>
    <row r="73" spans="1:2" x14ac:dyDescent="0.4">
      <c r="A73" s="4" t="s">
        <v>192</v>
      </c>
      <c r="B73" s="4">
        <v>15</v>
      </c>
    </row>
    <row r="74" spans="1:2" x14ac:dyDescent="0.4">
      <c r="A74" s="4" t="s">
        <v>193</v>
      </c>
      <c r="B74" s="4">
        <v>3</v>
      </c>
    </row>
    <row r="75" spans="1:2" x14ac:dyDescent="0.4">
      <c r="A75" s="4" t="s">
        <v>194</v>
      </c>
      <c r="B75" s="4">
        <v>6</v>
      </c>
    </row>
    <row r="76" spans="1:2" x14ac:dyDescent="0.4">
      <c r="A76" s="4" t="s">
        <v>195</v>
      </c>
      <c r="B76" s="4">
        <v>10</v>
      </c>
    </row>
    <row r="77" spans="1:2" x14ac:dyDescent="0.4">
      <c r="A77" s="4" t="s">
        <v>196</v>
      </c>
      <c r="B77" s="4">
        <v>10</v>
      </c>
    </row>
    <row r="78" spans="1:2" x14ac:dyDescent="0.4">
      <c r="A78" s="4" t="s">
        <v>197</v>
      </c>
      <c r="B78" s="4">
        <v>8</v>
      </c>
    </row>
    <row r="79" spans="1:2" x14ac:dyDescent="0.4">
      <c r="A79" s="4" t="s">
        <v>198</v>
      </c>
      <c r="B79" s="4">
        <v>6</v>
      </c>
    </row>
    <row r="80" spans="1:2" x14ac:dyDescent="0.4">
      <c r="A80" s="4" t="s">
        <v>199</v>
      </c>
      <c r="B80" s="4">
        <v>14</v>
      </c>
    </row>
    <row r="81" spans="1:2" x14ac:dyDescent="0.4">
      <c r="A81" s="4" t="s">
        <v>200</v>
      </c>
      <c r="B81" s="4">
        <v>4</v>
      </c>
    </row>
    <row r="82" spans="1:2" x14ac:dyDescent="0.4">
      <c r="A82" s="4" t="s">
        <v>201</v>
      </c>
      <c r="B82" s="4">
        <v>9</v>
      </c>
    </row>
    <row r="83" spans="1:2" x14ac:dyDescent="0.4">
      <c r="A83" s="4" t="s">
        <v>202</v>
      </c>
      <c r="B83" s="4">
        <v>12</v>
      </c>
    </row>
    <row r="84" spans="1:2" x14ac:dyDescent="0.4">
      <c r="A84" s="4" t="s">
        <v>203</v>
      </c>
      <c r="B84" s="4">
        <v>13</v>
      </c>
    </row>
    <row r="85" spans="1:2" x14ac:dyDescent="0.4">
      <c r="A85" s="4" t="s">
        <v>204</v>
      </c>
      <c r="B85" s="4">
        <v>4</v>
      </c>
    </row>
    <row r="86" spans="1:2" x14ac:dyDescent="0.4">
      <c r="A86" s="4" t="s">
        <v>205</v>
      </c>
      <c r="B86" s="4">
        <v>8</v>
      </c>
    </row>
    <row r="87" spans="1:2" x14ac:dyDescent="0.4">
      <c r="A87" s="4" t="s">
        <v>206</v>
      </c>
      <c r="B87" s="4">
        <v>14</v>
      </c>
    </row>
    <row r="88" spans="1:2" x14ac:dyDescent="0.4">
      <c r="A88" s="4" t="s">
        <v>207</v>
      </c>
      <c r="B88" s="4">
        <v>4</v>
      </c>
    </row>
    <row r="89" spans="1:2" x14ac:dyDescent="0.4">
      <c r="A89" s="4" t="s">
        <v>208</v>
      </c>
      <c r="B89" s="4">
        <v>9</v>
      </c>
    </row>
    <row r="90" spans="1:2" x14ac:dyDescent="0.4">
      <c r="A90" s="4" t="s">
        <v>209</v>
      </c>
      <c r="B90" s="4">
        <v>12</v>
      </c>
    </row>
    <row r="91" spans="1:2" x14ac:dyDescent="0.4">
      <c r="A91" s="4" t="s">
        <v>210</v>
      </c>
      <c r="B91" s="4">
        <v>4</v>
      </c>
    </row>
    <row r="92" spans="1:2" x14ac:dyDescent="0.4">
      <c r="A92" s="4" t="s">
        <v>211</v>
      </c>
      <c r="B92" s="4">
        <v>6</v>
      </c>
    </row>
    <row r="93" spans="1:2" x14ac:dyDescent="0.4">
      <c r="A93" s="4" t="s">
        <v>212</v>
      </c>
      <c r="B93" s="4">
        <v>4</v>
      </c>
    </row>
    <row r="94" spans="1:2" x14ac:dyDescent="0.4">
      <c r="A94" s="4" t="s">
        <v>213</v>
      </c>
      <c r="B94" s="4">
        <v>14</v>
      </c>
    </row>
    <row r="95" spans="1:2" x14ac:dyDescent="0.4">
      <c r="A95" s="4" t="s">
        <v>214</v>
      </c>
      <c r="B95" s="4">
        <v>7</v>
      </c>
    </row>
    <row r="96" spans="1:2" x14ac:dyDescent="0.4">
      <c r="A96" s="4" t="s">
        <v>215</v>
      </c>
      <c r="B96" s="4">
        <v>3</v>
      </c>
    </row>
    <row r="97" spans="1:2" x14ac:dyDescent="0.4">
      <c r="A97" s="4" t="s">
        <v>216</v>
      </c>
      <c r="B97" s="4">
        <v>12</v>
      </c>
    </row>
    <row r="98" spans="1:2" x14ac:dyDescent="0.4">
      <c r="A98" s="4" t="s">
        <v>217</v>
      </c>
      <c r="B98" s="4">
        <v>3</v>
      </c>
    </row>
    <row r="99" spans="1:2" x14ac:dyDescent="0.4">
      <c r="A99" s="4" t="s">
        <v>218</v>
      </c>
      <c r="B99" s="4">
        <v>7</v>
      </c>
    </row>
    <row r="100" spans="1:2" x14ac:dyDescent="0.4">
      <c r="A100" s="4" t="s">
        <v>219</v>
      </c>
      <c r="B100" s="4">
        <v>2</v>
      </c>
    </row>
    <row r="101" spans="1:2" x14ac:dyDescent="0.4">
      <c r="A101" s="4" t="s">
        <v>220</v>
      </c>
      <c r="B101" s="4">
        <v>12</v>
      </c>
    </row>
    <row r="102" spans="1:2" x14ac:dyDescent="0.4">
      <c r="A102" s="4" t="s">
        <v>221</v>
      </c>
      <c r="B102" s="4">
        <v>8</v>
      </c>
    </row>
    <row r="103" spans="1:2" x14ac:dyDescent="0.4">
      <c r="A103" s="4" t="s">
        <v>222</v>
      </c>
      <c r="B103" s="4">
        <v>6</v>
      </c>
    </row>
    <row r="104" spans="1:2" x14ac:dyDescent="0.4">
      <c r="A104" s="4" t="s">
        <v>223</v>
      </c>
      <c r="B104" s="4">
        <v>10</v>
      </c>
    </row>
    <row r="105" spans="1:2" x14ac:dyDescent="0.4">
      <c r="A105" s="4" t="s">
        <v>224</v>
      </c>
      <c r="B105" s="4">
        <v>15</v>
      </c>
    </row>
    <row r="106" spans="1:2" x14ac:dyDescent="0.4">
      <c r="A106" s="4" t="s">
        <v>225</v>
      </c>
      <c r="B106" s="4">
        <v>14</v>
      </c>
    </row>
    <row r="107" spans="1:2" x14ac:dyDescent="0.4">
      <c r="A107" s="4" t="s">
        <v>226</v>
      </c>
      <c r="B107" s="4">
        <v>7</v>
      </c>
    </row>
    <row r="108" spans="1:2" x14ac:dyDescent="0.4">
      <c r="A108" s="4" t="s">
        <v>227</v>
      </c>
      <c r="B108" s="4">
        <v>2</v>
      </c>
    </row>
    <row r="109" spans="1:2" x14ac:dyDescent="0.4">
      <c r="A109" s="4" t="s">
        <v>228</v>
      </c>
      <c r="B109" s="4">
        <v>14</v>
      </c>
    </row>
    <row r="110" spans="1:2" x14ac:dyDescent="0.4">
      <c r="A110" s="4" t="s">
        <v>229</v>
      </c>
      <c r="B110" s="4">
        <v>2</v>
      </c>
    </row>
    <row r="111" spans="1:2" x14ac:dyDescent="0.4">
      <c r="A111" s="4" t="s">
        <v>230</v>
      </c>
      <c r="B111" s="4">
        <v>13</v>
      </c>
    </row>
    <row r="112" spans="1:2" x14ac:dyDescent="0.4">
      <c r="A112" s="4" t="s">
        <v>231</v>
      </c>
      <c r="B112" s="4">
        <v>4</v>
      </c>
    </row>
    <row r="113" spans="1:2" x14ac:dyDescent="0.4">
      <c r="A113" s="4" t="s">
        <v>232</v>
      </c>
      <c r="B113" s="4">
        <v>13</v>
      </c>
    </row>
    <row r="114" spans="1:2" x14ac:dyDescent="0.4">
      <c r="A114" s="4" t="s">
        <v>233</v>
      </c>
      <c r="B114" s="4">
        <v>3</v>
      </c>
    </row>
    <row r="115" spans="1:2" x14ac:dyDescent="0.4">
      <c r="A115" s="4" t="s">
        <v>234</v>
      </c>
      <c r="B115" s="4">
        <v>10</v>
      </c>
    </row>
    <row r="116" spans="1:2" x14ac:dyDescent="0.4">
      <c r="A116" s="4" t="s">
        <v>235</v>
      </c>
      <c r="B116" s="4">
        <v>14</v>
      </c>
    </row>
    <row r="117" spans="1:2" x14ac:dyDescent="0.4">
      <c r="A117" s="4" t="s">
        <v>236</v>
      </c>
      <c r="B117" s="4">
        <v>12</v>
      </c>
    </row>
    <row r="118" spans="1:2" x14ac:dyDescent="0.4">
      <c r="A118" s="4" t="s">
        <v>237</v>
      </c>
      <c r="B118" s="4">
        <v>10</v>
      </c>
    </row>
    <row r="119" spans="1:2" x14ac:dyDescent="0.4">
      <c r="A119" s="4" t="s">
        <v>238</v>
      </c>
      <c r="B119" s="4">
        <v>10</v>
      </c>
    </row>
    <row r="120" spans="1:2" x14ac:dyDescent="0.4">
      <c r="A120" s="4" t="s">
        <v>239</v>
      </c>
      <c r="B120" s="4">
        <v>15</v>
      </c>
    </row>
    <row r="121" spans="1:2" x14ac:dyDescent="0.4">
      <c r="A121" s="4" t="s">
        <v>240</v>
      </c>
      <c r="B121" s="4">
        <v>12</v>
      </c>
    </row>
    <row r="122" spans="1:2" x14ac:dyDescent="0.4">
      <c r="A122" s="4" t="s">
        <v>241</v>
      </c>
      <c r="B122" s="4">
        <v>11</v>
      </c>
    </row>
    <row r="123" spans="1:2" x14ac:dyDescent="0.4">
      <c r="A123" s="4" t="s">
        <v>242</v>
      </c>
      <c r="B123" s="4">
        <v>10</v>
      </c>
    </row>
    <row r="124" spans="1:2" x14ac:dyDescent="0.4">
      <c r="A124" s="4" t="s">
        <v>243</v>
      </c>
      <c r="B124" s="4">
        <v>9</v>
      </c>
    </row>
    <row r="125" spans="1:2" x14ac:dyDescent="0.4">
      <c r="A125" s="4" t="s">
        <v>244</v>
      </c>
      <c r="B125" s="4">
        <v>9</v>
      </c>
    </row>
    <row r="126" spans="1:2" x14ac:dyDescent="0.4">
      <c r="A126" s="4" t="s">
        <v>245</v>
      </c>
      <c r="B126" s="4">
        <v>15</v>
      </c>
    </row>
    <row r="127" spans="1:2" x14ac:dyDescent="0.4">
      <c r="A127" s="4" t="s">
        <v>246</v>
      </c>
      <c r="B127" s="4">
        <v>5</v>
      </c>
    </row>
    <row r="128" spans="1:2" x14ac:dyDescent="0.4">
      <c r="A128" s="4" t="s">
        <v>247</v>
      </c>
      <c r="B128" s="4">
        <v>9</v>
      </c>
    </row>
    <row r="129" spans="1:2" x14ac:dyDescent="0.4">
      <c r="A129" s="4" t="s">
        <v>248</v>
      </c>
      <c r="B129" s="4">
        <v>13</v>
      </c>
    </row>
    <row r="130" spans="1:2" x14ac:dyDescent="0.4">
      <c r="A130" s="4" t="s">
        <v>249</v>
      </c>
      <c r="B130" s="4">
        <v>1</v>
      </c>
    </row>
    <row r="131" spans="1:2" x14ac:dyDescent="0.4">
      <c r="A131" s="4" t="s">
        <v>250</v>
      </c>
      <c r="B131" s="4">
        <v>8</v>
      </c>
    </row>
    <row r="132" spans="1:2" x14ac:dyDescent="0.4">
      <c r="A132" s="4" t="s">
        <v>251</v>
      </c>
      <c r="B132" s="4">
        <v>10</v>
      </c>
    </row>
    <row r="133" spans="1:2" x14ac:dyDescent="0.4">
      <c r="A133" s="4" t="s">
        <v>252</v>
      </c>
      <c r="B133" s="4">
        <v>9</v>
      </c>
    </row>
    <row r="134" spans="1:2" x14ac:dyDescent="0.4">
      <c r="A134" s="4" t="s">
        <v>253</v>
      </c>
      <c r="B134" s="4">
        <v>14</v>
      </c>
    </row>
    <row r="135" spans="1:2" x14ac:dyDescent="0.4">
      <c r="A135" s="4" t="s">
        <v>254</v>
      </c>
      <c r="B135" s="4">
        <v>1</v>
      </c>
    </row>
    <row r="136" spans="1:2" x14ac:dyDescent="0.4">
      <c r="A136" s="4" t="s">
        <v>255</v>
      </c>
      <c r="B136" s="4">
        <v>15</v>
      </c>
    </row>
    <row r="137" spans="1:2" x14ac:dyDescent="0.4">
      <c r="A137" s="4" t="s">
        <v>256</v>
      </c>
      <c r="B137" s="4">
        <v>1</v>
      </c>
    </row>
    <row r="138" spans="1:2" x14ac:dyDescent="0.4">
      <c r="A138" s="4" t="s">
        <v>257</v>
      </c>
      <c r="B138" s="4">
        <v>2</v>
      </c>
    </row>
    <row r="139" spans="1:2" x14ac:dyDescent="0.4">
      <c r="A139" s="4" t="s">
        <v>258</v>
      </c>
      <c r="B139" s="4">
        <v>13</v>
      </c>
    </row>
    <row r="140" spans="1:2" x14ac:dyDescent="0.4">
      <c r="A140" s="4" t="s">
        <v>259</v>
      </c>
      <c r="B140" s="4">
        <v>13</v>
      </c>
    </row>
    <row r="141" spans="1:2" x14ac:dyDescent="0.4">
      <c r="A141" s="4" t="s">
        <v>260</v>
      </c>
      <c r="B141" s="4">
        <v>4</v>
      </c>
    </row>
    <row r="142" spans="1:2" x14ac:dyDescent="0.4">
      <c r="A142" s="4" t="s">
        <v>261</v>
      </c>
      <c r="B142" s="4">
        <v>11</v>
      </c>
    </row>
    <row r="143" spans="1:2" x14ac:dyDescent="0.4">
      <c r="A143" s="4" t="s">
        <v>262</v>
      </c>
      <c r="B143" s="4">
        <v>5</v>
      </c>
    </row>
    <row r="144" spans="1:2" x14ac:dyDescent="0.4">
      <c r="A144" s="4" t="s">
        <v>263</v>
      </c>
      <c r="B144" s="4">
        <v>11</v>
      </c>
    </row>
    <row r="145" spans="1:2" x14ac:dyDescent="0.4">
      <c r="A145" s="4" t="s">
        <v>264</v>
      </c>
      <c r="B145" s="4">
        <v>1</v>
      </c>
    </row>
    <row r="146" spans="1:2" x14ac:dyDescent="0.4">
      <c r="A146" s="4" t="s">
        <v>265</v>
      </c>
      <c r="B146" s="4">
        <v>15</v>
      </c>
    </row>
    <row r="147" spans="1:2" x14ac:dyDescent="0.4">
      <c r="A147" s="4" t="s">
        <v>266</v>
      </c>
      <c r="B147" s="4">
        <v>6</v>
      </c>
    </row>
    <row r="148" spans="1:2" x14ac:dyDescent="0.4">
      <c r="A148" s="4" t="s">
        <v>267</v>
      </c>
      <c r="B148" s="4">
        <v>11</v>
      </c>
    </row>
    <row r="149" spans="1:2" x14ac:dyDescent="0.4">
      <c r="A149" s="4" t="s">
        <v>268</v>
      </c>
      <c r="B149" s="4">
        <v>3</v>
      </c>
    </row>
    <row r="150" spans="1:2" x14ac:dyDescent="0.4">
      <c r="A150" s="4" t="s">
        <v>269</v>
      </c>
      <c r="B150" s="4">
        <v>12</v>
      </c>
    </row>
    <row r="151" spans="1:2" x14ac:dyDescent="0.4">
      <c r="A151" s="4" t="s">
        <v>270</v>
      </c>
      <c r="B151" s="4">
        <v>13</v>
      </c>
    </row>
    <row r="152" spans="1:2" x14ac:dyDescent="0.4">
      <c r="A152" s="4" t="s">
        <v>271</v>
      </c>
      <c r="B152" s="4">
        <v>12</v>
      </c>
    </row>
    <row r="153" spans="1:2" x14ac:dyDescent="0.4">
      <c r="A153" s="4" t="s">
        <v>272</v>
      </c>
      <c r="B153" s="4">
        <v>15</v>
      </c>
    </row>
    <row r="154" spans="1:2" x14ac:dyDescent="0.4">
      <c r="A154" s="4" t="s">
        <v>273</v>
      </c>
      <c r="B154" s="4">
        <v>4</v>
      </c>
    </row>
    <row r="155" spans="1:2" x14ac:dyDescent="0.4">
      <c r="A155" s="4" t="s">
        <v>274</v>
      </c>
      <c r="B155" s="4">
        <v>4</v>
      </c>
    </row>
    <row r="156" spans="1:2" x14ac:dyDescent="0.4">
      <c r="A156" s="4" t="s">
        <v>275</v>
      </c>
      <c r="B156" s="4">
        <v>7</v>
      </c>
    </row>
    <row r="157" spans="1:2" x14ac:dyDescent="0.4">
      <c r="A157" s="4" t="s">
        <v>276</v>
      </c>
      <c r="B157" s="4">
        <v>2</v>
      </c>
    </row>
    <row r="158" spans="1:2" x14ac:dyDescent="0.4">
      <c r="A158" s="4" t="s">
        <v>277</v>
      </c>
      <c r="B158" s="4">
        <v>11</v>
      </c>
    </row>
    <row r="159" spans="1:2" x14ac:dyDescent="0.4">
      <c r="A159" s="4" t="s">
        <v>278</v>
      </c>
      <c r="B159" s="4">
        <v>6</v>
      </c>
    </row>
    <row r="160" spans="1:2" x14ac:dyDescent="0.4">
      <c r="A160" s="4" t="s">
        <v>279</v>
      </c>
      <c r="B160" s="4">
        <v>9</v>
      </c>
    </row>
    <row r="161" spans="1:2" x14ac:dyDescent="0.4">
      <c r="A161" s="4" t="s">
        <v>280</v>
      </c>
      <c r="B161" s="4">
        <v>9</v>
      </c>
    </row>
    <row r="162" spans="1:2" x14ac:dyDescent="0.4">
      <c r="A162" s="4" t="s">
        <v>281</v>
      </c>
      <c r="B162" s="4">
        <v>5</v>
      </c>
    </row>
    <row r="163" spans="1:2" x14ac:dyDescent="0.4">
      <c r="A163" s="4" t="s">
        <v>282</v>
      </c>
      <c r="B163" s="4">
        <v>11</v>
      </c>
    </row>
    <row r="164" spans="1:2" x14ac:dyDescent="0.4">
      <c r="A164" s="4" t="s">
        <v>283</v>
      </c>
      <c r="B164" s="4">
        <v>14</v>
      </c>
    </row>
    <row r="165" spans="1:2" x14ac:dyDescent="0.4">
      <c r="A165" s="4" t="s">
        <v>284</v>
      </c>
      <c r="B165" s="4">
        <v>15</v>
      </c>
    </row>
    <row r="166" spans="1:2" x14ac:dyDescent="0.4">
      <c r="A166" s="4" t="s">
        <v>285</v>
      </c>
      <c r="B166" s="4">
        <v>3</v>
      </c>
    </row>
    <row r="167" spans="1:2" x14ac:dyDescent="0.4">
      <c r="A167" s="4" t="s">
        <v>286</v>
      </c>
      <c r="B167" s="4">
        <v>15</v>
      </c>
    </row>
    <row r="168" spans="1:2" x14ac:dyDescent="0.4">
      <c r="A168" s="4" t="s">
        <v>287</v>
      </c>
      <c r="B168" s="4">
        <v>13</v>
      </c>
    </row>
    <row r="169" spans="1:2" x14ac:dyDescent="0.4">
      <c r="A169" s="4" t="s">
        <v>288</v>
      </c>
      <c r="B169" s="4">
        <v>9</v>
      </c>
    </row>
    <row r="170" spans="1:2" x14ac:dyDescent="0.4">
      <c r="A170" s="4" t="s">
        <v>289</v>
      </c>
      <c r="B170" s="4">
        <v>13</v>
      </c>
    </row>
    <row r="171" spans="1:2" x14ac:dyDescent="0.4">
      <c r="A171" s="4" t="s">
        <v>290</v>
      </c>
      <c r="B171" s="4">
        <v>12</v>
      </c>
    </row>
    <row r="172" spans="1:2" x14ac:dyDescent="0.4">
      <c r="A172" s="4" t="s">
        <v>291</v>
      </c>
      <c r="B172" s="4">
        <v>8</v>
      </c>
    </row>
    <row r="173" spans="1:2" x14ac:dyDescent="0.4">
      <c r="A173" s="4" t="s">
        <v>292</v>
      </c>
      <c r="B173" s="4">
        <v>15</v>
      </c>
    </row>
    <row r="174" spans="1:2" x14ac:dyDescent="0.4">
      <c r="A174" s="4" t="s">
        <v>293</v>
      </c>
      <c r="B174" s="4">
        <v>15</v>
      </c>
    </row>
    <row r="175" spans="1:2" x14ac:dyDescent="0.4">
      <c r="A175" s="4" t="s">
        <v>294</v>
      </c>
      <c r="B175" s="4">
        <v>6</v>
      </c>
    </row>
    <row r="176" spans="1:2" x14ac:dyDescent="0.4">
      <c r="A176" s="4" t="s">
        <v>295</v>
      </c>
      <c r="B176" s="4">
        <v>8</v>
      </c>
    </row>
    <row r="177" spans="1:2" x14ac:dyDescent="0.4">
      <c r="A177" s="4" t="s">
        <v>296</v>
      </c>
      <c r="B177" s="4">
        <v>11</v>
      </c>
    </row>
    <row r="178" spans="1:2" x14ac:dyDescent="0.4">
      <c r="A178" s="4" t="s">
        <v>297</v>
      </c>
      <c r="B178" s="4">
        <v>12</v>
      </c>
    </row>
    <row r="179" spans="1:2" x14ac:dyDescent="0.4">
      <c r="A179" s="4" t="s">
        <v>298</v>
      </c>
      <c r="B179" s="4">
        <v>11</v>
      </c>
    </row>
    <row r="180" spans="1:2" x14ac:dyDescent="0.4">
      <c r="A180" s="4" t="s">
        <v>299</v>
      </c>
      <c r="B180" s="4">
        <v>3</v>
      </c>
    </row>
    <row r="181" spans="1:2" x14ac:dyDescent="0.4">
      <c r="A181" s="4" t="s">
        <v>300</v>
      </c>
      <c r="B181" s="4">
        <v>9</v>
      </c>
    </row>
    <row r="182" spans="1:2" x14ac:dyDescent="0.4">
      <c r="A182" s="4" t="s">
        <v>301</v>
      </c>
      <c r="B182" s="4">
        <v>11</v>
      </c>
    </row>
    <row r="183" spans="1:2" x14ac:dyDescent="0.4">
      <c r="A183" s="4" t="s">
        <v>302</v>
      </c>
      <c r="B183" s="4">
        <v>2</v>
      </c>
    </row>
    <row r="184" spans="1:2" x14ac:dyDescent="0.4">
      <c r="A184" s="4" t="s">
        <v>303</v>
      </c>
      <c r="B184" s="4">
        <v>9</v>
      </c>
    </row>
    <row r="185" spans="1:2" x14ac:dyDescent="0.4">
      <c r="A185" s="4" t="s">
        <v>304</v>
      </c>
      <c r="B185" s="4">
        <v>2</v>
      </c>
    </row>
    <row r="186" spans="1:2" x14ac:dyDescent="0.4">
      <c r="A186" s="4" t="s">
        <v>305</v>
      </c>
      <c r="B186" s="4">
        <v>4</v>
      </c>
    </row>
    <row r="187" spans="1:2" x14ac:dyDescent="0.4">
      <c r="A187" s="4" t="s">
        <v>306</v>
      </c>
      <c r="B187" s="4">
        <v>10</v>
      </c>
    </row>
    <row r="188" spans="1:2" x14ac:dyDescent="0.4">
      <c r="A188" s="4" t="s">
        <v>307</v>
      </c>
      <c r="B188" s="4">
        <v>8</v>
      </c>
    </row>
    <row r="189" spans="1:2" x14ac:dyDescent="0.4">
      <c r="A189" s="4" t="s">
        <v>308</v>
      </c>
      <c r="B189" s="4">
        <v>1</v>
      </c>
    </row>
    <row r="190" spans="1:2" x14ac:dyDescent="0.4">
      <c r="A190" s="4" t="s">
        <v>309</v>
      </c>
      <c r="B190" s="4">
        <v>14</v>
      </c>
    </row>
    <row r="191" spans="1:2" x14ac:dyDescent="0.4">
      <c r="A191" s="4" t="s">
        <v>310</v>
      </c>
      <c r="B191" s="4">
        <v>3</v>
      </c>
    </row>
    <row r="192" spans="1:2" x14ac:dyDescent="0.4">
      <c r="A192" s="4" t="s">
        <v>311</v>
      </c>
      <c r="B192" s="4">
        <v>15</v>
      </c>
    </row>
    <row r="193" spans="1:2" x14ac:dyDescent="0.4">
      <c r="A193" s="4" t="s">
        <v>312</v>
      </c>
      <c r="B193" s="4">
        <v>15</v>
      </c>
    </row>
    <row r="194" spans="1:2" x14ac:dyDescent="0.4">
      <c r="A194" s="4" t="s">
        <v>313</v>
      </c>
      <c r="B194" s="4">
        <v>1</v>
      </c>
    </row>
    <row r="195" spans="1:2" x14ac:dyDescent="0.4">
      <c r="A195" s="4" t="s">
        <v>314</v>
      </c>
      <c r="B195" s="4">
        <v>11</v>
      </c>
    </row>
    <row r="196" spans="1:2" x14ac:dyDescent="0.4">
      <c r="A196" s="4" t="s">
        <v>315</v>
      </c>
      <c r="B196" s="4">
        <v>4</v>
      </c>
    </row>
    <row r="197" spans="1:2" x14ac:dyDescent="0.4">
      <c r="A197" s="4" t="s">
        <v>316</v>
      </c>
      <c r="B197" s="4">
        <v>4</v>
      </c>
    </row>
    <row r="198" spans="1:2" x14ac:dyDescent="0.4">
      <c r="A198" s="4" t="s">
        <v>317</v>
      </c>
      <c r="B198" s="4">
        <v>15</v>
      </c>
    </row>
    <row r="199" spans="1:2" x14ac:dyDescent="0.4">
      <c r="A199" s="4" t="s">
        <v>318</v>
      </c>
      <c r="B199" s="4">
        <v>9</v>
      </c>
    </row>
    <row r="200" spans="1:2" x14ac:dyDescent="0.4">
      <c r="A200" s="4" t="s">
        <v>319</v>
      </c>
      <c r="B200" s="4">
        <v>14</v>
      </c>
    </row>
    <row r="201" spans="1:2" x14ac:dyDescent="0.4">
      <c r="A201" s="4" t="s">
        <v>320</v>
      </c>
      <c r="B201" s="4">
        <v>13</v>
      </c>
    </row>
    <row r="202" spans="1:2" x14ac:dyDescent="0.4">
      <c r="A202" s="4" t="s">
        <v>321</v>
      </c>
      <c r="B202" s="4">
        <v>6</v>
      </c>
    </row>
    <row r="203" spans="1:2" x14ac:dyDescent="0.4">
      <c r="A203" s="4" t="s">
        <v>322</v>
      </c>
      <c r="B203" s="4">
        <v>8</v>
      </c>
    </row>
    <row r="204" spans="1:2" x14ac:dyDescent="0.4">
      <c r="A204" s="4" t="s">
        <v>323</v>
      </c>
      <c r="B204" s="4">
        <v>2</v>
      </c>
    </row>
    <row r="205" spans="1:2" x14ac:dyDescent="0.4">
      <c r="A205" s="4" t="s">
        <v>324</v>
      </c>
      <c r="B205" s="4">
        <v>6</v>
      </c>
    </row>
    <row r="206" spans="1:2" x14ac:dyDescent="0.4">
      <c r="A206" s="4" t="s">
        <v>325</v>
      </c>
      <c r="B206" s="4">
        <v>11</v>
      </c>
    </row>
    <row r="207" spans="1:2" x14ac:dyDescent="0.4">
      <c r="A207" s="4" t="s">
        <v>326</v>
      </c>
      <c r="B207" s="4">
        <v>8</v>
      </c>
    </row>
    <row r="208" spans="1:2" x14ac:dyDescent="0.4">
      <c r="A208" s="4" t="s">
        <v>327</v>
      </c>
      <c r="B208" s="4">
        <v>3</v>
      </c>
    </row>
    <row r="209" spans="1:2" x14ac:dyDescent="0.4">
      <c r="A209" s="4" t="s">
        <v>328</v>
      </c>
      <c r="B209" s="4">
        <v>5</v>
      </c>
    </row>
    <row r="210" spans="1:2" x14ac:dyDescent="0.4">
      <c r="A210" s="4" t="s">
        <v>329</v>
      </c>
      <c r="B210" s="4">
        <v>10</v>
      </c>
    </row>
    <row r="211" spans="1:2" x14ac:dyDescent="0.4">
      <c r="A211" s="4" t="s">
        <v>330</v>
      </c>
      <c r="B211" s="4">
        <v>13</v>
      </c>
    </row>
    <row r="212" spans="1:2" x14ac:dyDescent="0.4">
      <c r="A212" s="4" t="s">
        <v>331</v>
      </c>
      <c r="B212" s="4">
        <v>14</v>
      </c>
    </row>
    <row r="213" spans="1:2" x14ac:dyDescent="0.4">
      <c r="A213" s="4" t="s">
        <v>332</v>
      </c>
      <c r="B213" s="4">
        <v>6</v>
      </c>
    </row>
    <row r="214" spans="1:2" x14ac:dyDescent="0.4">
      <c r="A214" s="4" t="s">
        <v>333</v>
      </c>
      <c r="B214" s="4">
        <v>15</v>
      </c>
    </row>
    <row r="215" spans="1:2" x14ac:dyDescent="0.4">
      <c r="A215" s="4" t="s">
        <v>334</v>
      </c>
      <c r="B215" s="4">
        <v>13</v>
      </c>
    </row>
    <row r="216" spans="1:2" x14ac:dyDescent="0.4">
      <c r="A216" s="4" t="s">
        <v>335</v>
      </c>
      <c r="B216" s="4">
        <v>4</v>
      </c>
    </row>
    <row r="217" spans="1:2" x14ac:dyDescent="0.4">
      <c r="A217" s="4" t="s">
        <v>336</v>
      </c>
      <c r="B217" s="4">
        <v>4</v>
      </c>
    </row>
    <row r="218" spans="1:2" x14ac:dyDescent="0.4">
      <c r="A218" s="4" t="s">
        <v>337</v>
      </c>
      <c r="B218" s="4">
        <v>12</v>
      </c>
    </row>
    <row r="219" spans="1:2" x14ac:dyDescent="0.4">
      <c r="A219" s="4" t="s">
        <v>338</v>
      </c>
      <c r="B219" s="4">
        <v>15</v>
      </c>
    </row>
    <row r="220" spans="1:2" x14ac:dyDescent="0.4">
      <c r="A220" s="4" t="s">
        <v>339</v>
      </c>
      <c r="B220" s="4">
        <v>12</v>
      </c>
    </row>
    <row r="221" spans="1:2" x14ac:dyDescent="0.4">
      <c r="A221" s="4" t="s">
        <v>340</v>
      </c>
      <c r="B221" s="4">
        <v>3</v>
      </c>
    </row>
    <row r="222" spans="1:2" x14ac:dyDescent="0.4">
      <c r="A222" s="4" t="s">
        <v>341</v>
      </c>
      <c r="B222" s="4">
        <v>5</v>
      </c>
    </row>
  </sheetData>
  <autoFilter ref="A1:B22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workbookViewId="0">
      <selection activeCell="D8" sqref="D8"/>
    </sheetView>
  </sheetViews>
  <sheetFormatPr defaultRowHeight="14.6" x14ac:dyDescent="0.4"/>
  <sheetData>
    <row r="1" spans="1:4" x14ac:dyDescent="0.4">
      <c r="A1" t="s">
        <v>349</v>
      </c>
    </row>
    <row r="2" spans="1:4" x14ac:dyDescent="0.4">
      <c r="A2" t="s">
        <v>350</v>
      </c>
    </row>
    <row r="3" spans="1:4" x14ac:dyDescent="0.4">
      <c r="A3">
        <v>800123</v>
      </c>
    </row>
    <row r="4" spans="1:4" x14ac:dyDescent="0.4">
      <c r="A4" t="s">
        <v>351</v>
      </c>
    </row>
    <row r="5" spans="1:4" x14ac:dyDescent="0.4">
      <c r="A5" t="s">
        <v>352</v>
      </c>
      <c r="D5" t="s">
        <v>356</v>
      </c>
    </row>
    <row r="6" spans="1:4" x14ac:dyDescent="0.4">
      <c r="A6">
        <v>80001</v>
      </c>
    </row>
    <row r="7" spans="1:4" x14ac:dyDescent="0.4">
      <c r="A7" t="s">
        <v>353</v>
      </c>
    </row>
    <row r="8" spans="1:4" x14ac:dyDescent="0.4">
      <c r="A8" t="s">
        <v>354</v>
      </c>
      <c r="D8" s="3">
        <f t="array" ref="D8">COUNT(IF(LEFT($A$2:$A$12,1)=8&amp;"",1,""))</f>
        <v>5</v>
      </c>
    </row>
    <row r="9" spans="1:4" x14ac:dyDescent="0.4">
      <c r="A9">
        <v>8412475</v>
      </c>
    </row>
    <row r="10" spans="1:4" x14ac:dyDescent="0.4">
      <c r="A10">
        <v>48744</v>
      </c>
    </row>
    <row r="11" spans="1:4" x14ac:dyDescent="0.4">
      <c r="A11">
        <v>6587</v>
      </c>
    </row>
    <row r="12" spans="1:4" x14ac:dyDescent="0.4">
      <c r="A12" t="s">
        <v>355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51"/>
  <sheetViews>
    <sheetView workbookViewId="0">
      <selection activeCell="G3" sqref="G3"/>
    </sheetView>
  </sheetViews>
  <sheetFormatPr defaultRowHeight="14.6" x14ac:dyDescent="0.4"/>
  <cols>
    <col min="2" max="2" width="24.3828125" bestFit="1" customWidth="1"/>
    <col min="6" max="6" width="45.3828125" bestFit="1" customWidth="1"/>
    <col min="10" max="10" width="33.84375" bestFit="1" customWidth="1"/>
  </cols>
  <sheetData>
    <row r="1" spans="1:10" x14ac:dyDescent="0.4">
      <c r="A1" s="9" t="s">
        <v>357</v>
      </c>
      <c r="E1" s="9" t="s">
        <v>360</v>
      </c>
      <c r="I1" s="9" t="s">
        <v>389</v>
      </c>
    </row>
    <row r="2" spans="1:10" x14ac:dyDescent="0.4">
      <c r="A2" t="s">
        <v>358</v>
      </c>
      <c r="B2" s="10" t="s">
        <v>359</v>
      </c>
      <c r="E2" s="11" t="s">
        <v>21</v>
      </c>
      <c r="F2" s="11" t="s">
        <v>388</v>
      </c>
      <c r="I2" s="11" t="s">
        <v>390</v>
      </c>
      <c r="J2" s="11" t="s">
        <v>391</v>
      </c>
    </row>
    <row r="3" spans="1:10" x14ac:dyDescent="0.4">
      <c r="A3" s="4">
        <v>8</v>
      </c>
      <c r="B3">
        <f>SUMIF($A$3:$A$51,"&lt;"&amp;SMALL($A$3:$A$51,25))</f>
        <v>476</v>
      </c>
      <c r="C3">
        <f>SUMIF($A$3:$A$51,"&lt;"&amp;SMALL($A$3:$A$51,25))</f>
        <v>476</v>
      </c>
      <c r="E3" s="4" t="s">
        <v>361</v>
      </c>
      <c r="F3" s="4" t="s">
        <v>363</v>
      </c>
      <c r="G3">
        <f>SUMPRODUCT(LEN(E3:E41)-LEN(SUBSTITUTE(E3:E41,"D","")))</f>
        <v>4</v>
      </c>
      <c r="I3" s="4">
        <v>79</v>
      </c>
      <c r="J3">
        <f t="array" ref="J3">COUNT(IF(ERROR.TYPE($I$3:$I$16)&gt;1,1,""))</f>
        <v>3</v>
      </c>
    </row>
    <row r="4" spans="1:10" x14ac:dyDescent="0.4">
      <c r="A4" s="4">
        <v>59</v>
      </c>
      <c r="E4" s="4" t="s">
        <v>362</v>
      </c>
      <c r="F4" s="4" t="s">
        <v>92</v>
      </c>
      <c r="G4">
        <f>SUMPRODUCT(LEN(E3:E41)-LEN(SUBSTITUTE(E3:E41,"d","")))</f>
        <v>3</v>
      </c>
      <c r="I4" s="4">
        <v>91</v>
      </c>
    </row>
    <row r="5" spans="1:10" x14ac:dyDescent="0.4">
      <c r="A5" s="4">
        <v>47</v>
      </c>
      <c r="E5" s="4" t="s">
        <v>363</v>
      </c>
      <c r="I5" s="4">
        <v>26</v>
      </c>
    </row>
    <row r="6" spans="1:10" x14ac:dyDescent="0.4">
      <c r="A6" s="4">
        <v>64</v>
      </c>
      <c r="E6" s="4" t="s">
        <v>92</v>
      </c>
      <c r="I6" s="4" t="e">
        <v>#N/A</v>
      </c>
    </row>
    <row r="7" spans="1:10" x14ac:dyDescent="0.4">
      <c r="A7" s="4">
        <v>42</v>
      </c>
      <c r="E7" s="4" t="s">
        <v>364</v>
      </c>
      <c r="I7" s="4">
        <v>10</v>
      </c>
    </row>
    <row r="8" spans="1:10" x14ac:dyDescent="0.4">
      <c r="A8" s="4">
        <v>31</v>
      </c>
      <c r="E8" s="4" t="s">
        <v>365</v>
      </c>
      <c r="I8" s="4" t="e">
        <v>#N/A</v>
      </c>
    </row>
    <row r="9" spans="1:10" x14ac:dyDescent="0.4">
      <c r="A9" s="4">
        <v>51</v>
      </c>
      <c r="E9" s="4" t="s">
        <v>366</v>
      </c>
      <c r="I9" s="4">
        <v>41</v>
      </c>
    </row>
    <row r="10" spans="1:10" x14ac:dyDescent="0.4">
      <c r="A10" s="4">
        <v>24</v>
      </c>
      <c r="E10" s="4" t="s">
        <v>363</v>
      </c>
      <c r="I10" s="4">
        <v>76</v>
      </c>
    </row>
    <row r="11" spans="1:10" x14ac:dyDescent="0.4">
      <c r="A11" s="4">
        <v>12</v>
      </c>
      <c r="E11" s="4" t="s">
        <v>365</v>
      </c>
      <c r="I11" s="4" t="e">
        <v>#N/A</v>
      </c>
    </row>
    <row r="12" spans="1:10" x14ac:dyDescent="0.4">
      <c r="A12" s="4">
        <v>93</v>
      </c>
      <c r="E12" s="4" t="s">
        <v>364</v>
      </c>
      <c r="I12" s="4">
        <v>14</v>
      </c>
    </row>
    <row r="13" spans="1:10" x14ac:dyDescent="0.4">
      <c r="A13" s="4">
        <v>95</v>
      </c>
      <c r="E13" s="4" t="s">
        <v>367</v>
      </c>
      <c r="I13" s="4">
        <v>61</v>
      </c>
    </row>
    <row r="14" spans="1:10" x14ac:dyDescent="0.4">
      <c r="A14" s="4">
        <v>42</v>
      </c>
      <c r="E14" s="4" t="s">
        <v>368</v>
      </c>
      <c r="I14" s="4">
        <v>60</v>
      </c>
    </row>
    <row r="15" spans="1:10" x14ac:dyDescent="0.4">
      <c r="A15" s="4">
        <v>15</v>
      </c>
      <c r="E15" s="4" t="s">
        <v>368</v>
      </c>
      <c r="I15" s="4">
        <v>1</v>
      </c>
    </row>
    <row r="16" spans="1:10" x14ac:dyDescent="0.4">
      <c r="A16" s="4">
        <v>65</v>
      </c>
      <c r="E16" s="4" t="s">
        <v>363</v>
      </c>
      <c r="I16" s="4">
        <v>17</v>
      </c>
    </row>
    <row r="17" spans="1:5" x14ac:dyDescent="0.4">
      <c r="A17" s="4">
        <v>83</v>
      </c>
      <c r="E17" s="4" t="s">
        <v>369</v>
      </c>
    </row>
    <row r="18" spans="1:5" x14ac:dyDescent="0.4">
      <c r="A18" s="4">
        <v>3</v>
      </c>
      <c r="E18" s="4" t="s">
        <v>370</v>
      </c>
    </row>
    <row r="19" spans="1:5" x14ac:dyDescent="0.4">
      <c r="A19" s="4">
        <v>32</v>
      </c>
      <c r="E19" s="4" t="s">
        <v>370</v>
      </c>
    </row>
    <row r="20" spans="1:5" x14ac:dyDescent="0.4">
      <c r="A20" s="4">
        <v>50</v>
      </c>
      <c r="E20" s="4" t="s">
        <v>371</v>
      </c>
    </row>
    <row r="21" spans="1:5" x14ac:dyDescent="0.4">
      <c r="A21" s="4">
        <v>19</v>
      </c>
      <c r="E21" s="4" t="s">
        <v>372</v>
      </c>
    </row>
    <row r="22" spans="1:5" x14ac:dyDescent="0.4">
      <c r="A22" s="4">
        <v>45</v>
      </c>
      <c r="E22" s="4" t="s">
        <v>363</v>
      </c>
    </row>
    <row r="23" spans="1:5" x14ac:dyDescent="0.4">
      <c r="A23" s="4">
        <v>33</v>
      </c>
      <c r="E23" s="4" t="s">
        <v>373</v>
      </c>
    </row>
    <row r="24" spans="1:5" x14ac:dyDescent="0.4">
      <c r="A24" s="4">
        <v>90</v>
      </c>
      <c r="E24" s="4" t="s">
        <v>361</v>
      </c>
    </row>
    <row r="25" spans="1:5" x14ac:dyDescent="0.4">
      <c r="A25" s="4">
        <v>29</v>
      </c>
      <c r="E25" s="4" t="s">
        <v>92</v>
      </c>
    </row>
    <row r="26" spans="1:5" x14ac:dyDescent="0.4">
      <c r="A26" s="4">
        <v>91</v>
      </c>
      <c r="E26" s="4" t="s">
        <v>93</v>
      </c>
    </row>
    <row r="27" spans="1:5" x14ac:dyDescent="0.4">
      <c r="A27" s="4">
        <v>29</v>
      </c>
      <c r="E27" s="4" t="s">
        <v>374</v>
      </c>
    </row>
    <row r="28" spans="1:5" x14ac:dyDescent="0.4">
      <c r="A28" s="4">
        <v>14</v>
      </c>
      <c r="E28" s="4" t="s">
        <v>92</v>
      </c>
    </row>
    <row r="29" spans="1:5" x14ac:dyDescent="0.4">
      <c r="A29" s="4">
        <v>10</v>
      </c>
      <c r="E29" s="4" t="s">
        <v>375</v>
      </c>
    </row>
    <row r="30" spans="1:5" x14ac:dyDescent="0.4">
      <c r="A30" s="4">
        <v>31</v>
      </c>
      <c r="E30" s="4" t="s">
        <v>376</v>
      </c>
    </row>
    <row r="31" spans="1:5" x14ac:dyDescent="0.4">
      <c r="A31" s="4">
        <v>55</v>
      </c>
      <c r="E31" s="4" t="s">
        <v>377</v>
      </c>
    </row>
    <row r="32" spans="1:5" x14ac:dyDescent="0.4">
      <c r="A32" s="4">
        <v>29</v>
      </c>
      <c r="E32" s="4" t="s">
        <v>378</v>
      </c>
    </row>
    <row r="33" spans="1:5" x14ac:dyDescent="0.4">
      <c r="A33" s="4">
        <v>38</v>
      </c>
      <c r="E33" s="4" t="s">
        <v>379</v>
      </c>
    </row>
    <row r="34" spans="1:5" x14ac:dyDescent="0.4">
      <c r="A34" s="4">
        <v>76</v>
      </c>
      <c r="E34" s="4" t="s">
        <v>380</v>
      </c>
    </row>
    <row r="35" spans="1:5" x14ac:dyDescent="0.4">
      <c r="A35" s="4">
        <v>33</v>
      </c>
      <c r="E35" s="4" t="s">
        <v>381</v>
      </c>
    </row>
    <row r="36" spans="1:5" x14ac:dyDescent="0.4">
      <c r="A36" s="4">
        <v>10</v>
      </c>
      <c r="E36" s="4" t="s">
        <v>382</v>
      </c>
    </row>
    <row r="37" spans="1:5" x14ac:dyDescent="0.4">
      <c r="A37" s="4">
        <v>59</v>
      </c>
      <c r="E37" s="4" t="s">
        <v>383</v>
      </c>
    </row>
    <row r="38" spans="1:5" x14ac:dyDescent="0.4">
      <c r="A38" s="4">
        <v>50</v>
      </c>
      <c r="E38" s="4" t="s">
        <v>384</v>
      </c>
    </row>
    <row r="39" spans="1:5" x14ac:dyDescent="0.4">
      <c r="A39" s="4">
        <v>64</v>
      </c>
      <c r="E39" s="4" t="s">
        <v>385</v>
      </c>
    </row>
    <row r="40" spans="1:5" x14ac:dyDescent="0.4">
      <c r="A40" s="4">
        <v>19</v>
      </c>
      <c r="E40" s="4" t="s">
        <v>386</v>
      </c>
    </row>
    <row r="41" spans="1:5" x14ac:dyDescent="0.4">
      <c r="A41" s="4">
        <v>8</v>
      </c>
      <c r="E41" s="4" t="s">
        <v>387</v>
      </c>
    </row>
    <row r="42" spans="1:5" x14ac:dyDescent="0.4">
      <c r="A42" s="4">
        <v>31</v>
      </c>
    </row>
    <row r="43" spans="1:5" x14ac:dyDescent="0.4">
      <c r="A43" s="4">
        <v>5</v>
      </c>
    </row>
    <row r="44" spans="1:5" x14ac:dyDescent="0.4">
      <c r="A44" s="4">
        <v>90</v>
      </c>
    </row>
    <row r="45" spans="1:5" x14ac:dyDescent="0.4">
      <c r="A45" s="4">
        <v>21</v>
      </c>
    </row>
    <row r="46" spans="1:5" x14ac:dyDescent="0.4">
      <c r="A46" s="4">
        <v>38</v>
      </c>
    </row>
    <row r="47" spans="1:5" x14ac:dyDescent="0.4">
      <c r="A47" s="4">
        <v>43</v>
      </c>
    </row>
    <row r="48" spans="1:5" x14ac:dyDescent="0.4">
      <c r="A48" s="4">
        <v>59</v>
      </c>
    </row>
    <row r="49" spans="1:1" x14ac:dyDescent="0.4">
      <c r="A49" s="4">
        <v>30</v>
      </c>
    </row>
    <row r="50" spans="1:1" x14ac:dyDescent="0.4">
      <c r="A50" s="4">
        <v>98</v>
      </c>
    </row>
    <row r="51" spans="1:1" x14ac:dyDescent="0.4">
      <c r="A51" s="4">
        <v>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14"/>
  <sheetViews>
    <sheetView workbookViewId="0">
      <selection activeCell="S2" sqref="S2:S5"/>
    </sheetView>
  </sheetViews>
  <sheetFormatPr defaultRowHeight="14.6" x14ac:dyDescent="0.4"/>
  <sheetData>
    <row r="1" spans="1:19" ht="25.75" x14ac:dyDescent="0.4">
      <c r="A1" s="12" t="s">
        <v>392</v>
      </c>
      <c r="B1" s="13" t="s">
        <v>393</v>
      </c>
      <c r="C1" s="13" t="s">
        <v>371</v>
      </c>
      <c r="D1" s="13" t="s">
        <v>394</v>
      </c>
      <c r="E1" s="13" t="s">
        <v>363</v>
      </c>
      <c r="F1" s="13" t="s">
        <v>395</v>
      </c>
      <c r="G1" s="13" t="s">
        <v>396</v>
      </c>
      <c r="H1" s="13" t="s">
        <v>397</v>
      </c>
      <c r="I1" s="14" t="s">
        <v>361</v>
      </c>
      <c r="J1" s="13" t="s">
        <v>398</v>
      </c>
      <c r="K1" s="13" t="s">
        <v>364</v>
      </c>
      <c r="L1" s="13" t="s">
        <v>399</v>
      </c>
      <c r="M1" s="13" t="s">
        <v>400</v>
      </c>
      <c r="N1" s="13" t="s">
        <v>366</v>
      </c>
      <c r="O1" s="13" t="s">
        <v>370</v>
      </c>
      <c r="P1" s="13" t="s">
        <v>362</v>
      </c>
      <c r="Q1" s="14" t="s">
        <v>372</v>
      </c>
      <c r="R1" s="13" t="s">
        <v>401</v>
      </c>
      <c r="S1" s="15" t="s">
        <v>402</v>
      </c>
    </row>
    <row r="2" spans="1:19" x14ac:dyDescent="0.4">
      <c r="A2" s="16" t="s">
        <v>403</v>
      </c>
      <c r="B2" s="17">
        <v>3564</v>
      </c>
      <c r="C2" s="17">
        <v>45780</v>
      </c>
      <c r="D2" s="17">
        <v>6587</v>
      </c>
      <c r="E2" s="17">
        <v>7347</v>
      </c>
      <c r="F2" s="17">
        <v>2627</v>
      </c>
      <c r="G2" s="17">
        <v>426</v>
      </c>
      <c r="H2" s="17">
        <v>228</v>
      </c>
      <c r="I2" s="18">
        <v>11.245717082721489</v>
      </c>
      <c r="J2" s="17">
        <v>-5</v>
      </c>
      <c r="K2" s="17">
        <v>20574</v>
      </c>
      <c r="L2" s="17">
        <v>4147</v>
      </c>
      <c r="M2" s="17">
        <v>5199</v>
      </c>
      <c r="N2" s="17">
        <v>2231</v>
      </c>
      <c r="O2" s="17">
        <v>390</v>
      </c>
      <c r="P2" s="17">
        <v>108</v>
      </c>
      <c r="Q2" s="18">
        <v>7.2263759721542407</v>
      </c>
      <c r="R2" s="19">
        <v>13</v>
      </c>
      <c r="S2" s="11">
        <f t="array" ref="S2">COUNT(IF(NOT(MOD(B2:Q2,1)),IF(B2:Q2&gt;0,1,"")))</f>
        <v>13</v>
      </c>
    </row>
    <row r="3" spans="1:19" x14ac:dyDescent="0.4">
      <c r="A3" s="16" t="s">
        <v>404</v>
      </c>
      <c r="B3" s="17">
        <v>21780</v>
      </c>
      <c r="C3" s="17">
        <v>150480</v>
      </c>
      <c r="D3" s="17">
        <v>12078</v>
      </c>
      <c r="E3" s="17">
        <v>5677</v>
      </c>
      <c r="F3" s="17">
        <v>594</v>
      </c>
      <c r="G3" s="17">
        <v>357</v>
      </c>
      <c r="H3" s="17">
        <v>84</v>
      </c>
      <c r="I3" s="18">
        <v>17.812931690868549</v>
      </c>
      <c r="J3" s="17">
        <v>0</v>
      </c>
      <c r="K3" s="17">
        <v>2640</v>
      </c>
      <c r="L3" s="17">
        <v>1210</v>
      </c>
      <c r="M3" s="17">
        <v>1089</v>
      </c>
      <c r="N3" s="17">
        <v>132</v>
      </c>
      <c r="O3" s="17">
        <v>36</v>
      </c>
      <c r="P3" s="17">
        <v>0</v>
      </c>
      <c r="Q3" s="18">
        <v>1.1312816120084841</v>
      </c>
      <c r="R3" s="4">
        <v>12</v>
      </c>
      <c r="S3" s="11">
        <f t="array" ref="S3">COUNT(IF(NOT(MOD(B3:Q3,1)),IF(B3:Q3&gt;0,1,"")))</f>
        <v>12</v>
      </c>
    </row>
    <row r="4" spans="1:19" x14ac:dyDescent="0.4">
      <c r="A4" s="16" t="s">
        <v>405</v>
      </c>
      <c r="B4" s="17">
        <v>660</v>
      </c>
      <c r="C4" s="17">
        <v>31944</v>
      </c>
      <c r="D4" s="17">
        <v>5478</v>
      </c>
      <c r="E4" s="17">
        <v>4158</v>
      </c>
      <c r="F4" s="17">
        <v>803</v>
      </c>
      <c r="G4" s="17">
        <v>228</v>
      </c>
      <c r="H4" s="17">
        <v>12</v>
      </c>
      <c r="I4" s="18">
        <v>6.4326970141948117</v>
      </c>
      <c r="J4" s="17">
        <v>330</v>
      </c>
      <c r="K4" s="17">
        <v>13992</v>
      </c>
      <c r="L4" s="17">
        <v>2376</v>
      </c>
      <c r="M4" s="17">
        <v>1716</v>
      </c>
      <c r="N4" s="17">
        <v>539</v>
      </c>
      <c r="O4" s="17">
        <v>60</v>
      </c>
      <c r="P4" s="17">
        <v>12</v>
      </c>
      <c r="Q4" s="18">
        <v>2.8589900473160381</v>
      </c>
      <c r="R4" s="4">
        <v>14</v>
      </c>
      <c r="S4" s="11">
        <f t="array" ref="S4">COUNT(IF(NOT(MOD(B4:Q4,1)),IF(B4:Q4&gt;0,1,"")))</f>
        <v>14</v>
      </c>
    </row>
    <row r="5" spans="1:19" x14ac:dyDescent="0.4">
      <c r="A5" s="16" t="s">
        <v>406</v>
      </c>
      <c r="B5" s="17">
        <v>19404</v>
      </c>
      <c r="C5" s="17">
        <v>55594</v>
      </c>
      <c r="D5" s="17">
        <v>10989</v>
      </c>
      <c r="E5" s="17">
        <v>8789</v>
      </c>
      <c r="F5" s="17">
        <v>1749</v>
      </c>
      <c r="G5" s="17">
        <v>336</v>
      </c>
      <c r="H5" s="17">
        <v>24</v>
      </c>
      <c r="I5" s="18">
        <v>13.062788926959266</v>
      </c>
      <c r="J5" s="17">
        <v>2310</v>
      </c>
      <c r="K5" s="17">
        <v>3586</v>
      </c>
      <c r="L5" s="17">
        <v>1661</v>
      </c>
      <c r="M5" s="17">
        <v>1408</v>
      </c>
      <c r="N5" s="17">
        <v>770</v>
      </c>
      <c r="O5" s="17">
        <v>156</v>
      </c>
      <c r="P5" s="17">
        <v>0</v>
      </c>
      <c r="Q5" s="18">
        <v>2.1792910752161849</v>
      </c>
      <c r="R5" s="4">
        <v>13</v>
      </c>
      <c r="S5" s="11">
        <f t="array" ref="S5">COUNT(IF(NOT(MOD(B5:Q5,1)),IF(B5:Q5&gt;0,1,"")))</f>
        <v>13</v>
      </c>
    </row>
    <row r="11" spans="1:19" ht="15" thickBot="1" x14ac:dyDescent="0.45"/>
    <row r="12" spans="1:19" x14ac:dyDescent="0.4">
      <c r="F12" s="53" t="s">
        <v>407</v>
      </c>
      <c r="G12" s="54"/>
      <c r="H12" s="54"/>
      <c r="I12" s="54"/>
      <c r="J12" s="54"/>
      <c r="K12" s="54"/>
      <c r="L12" s="54"/>
      <c r="M12" s="54"/>
      <c r="N12" s="55"/>
    </row>
    <row r="13" spans="1:19" x14ac:dyDescent="0.4">
      <c r="F13" s="56"/>
      <c r="G13" s="57"/>
      <c r="H13" s="57"/>
      <c r="I13" s="57"/>
      <c r="J13" s="57"/>
      <c r="K13" s="57"/>
      <c r="L13" s="57"/>
      <c r="M13" s="57"/>
      <c r="N13" s="58"/>
    </row>
    <row r="14" spans="1:19" ht="15" thickBot="1" x14ac:dyDescent="0.45">
      <c r="F14" s="59"/>
      <c r="G14" s="60"/>
      <c r="H14" s="60"/>
      <c r="I14" s="60"/>
      <c r="J14" s="60"/>
      <c r="K14" s="60"/>
      <c r="L14" s="60"/>
      <c r="M14" s="60"/>
      <c r="N14" s="61"/>
    </row>
  </sheetData>
  <mergeCells count="1">
    <mergeCell ref="F12:N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52"/>
  <sheetViews>
    <sheetView workbookViewId="0">
      <selection activeCell="J9" sqref="J9:J10"/>
    </sheetView>
  </sheetViews>
  <sheetFormatPr defaultRowHeight="14.6" x14ac:dyDescent="0.4"/>
  <cols>
    <col min="9" max="9" width="27.15234375" bestFit="1" customWidth="1"/>
  </cols>
  <sheetData>
    <row r="1" spans="1:11" x14ac:dyDescent="0.4">
      <c r="A1" t="s">
        <v>358</v>
      </c>
      <c r="B1" t="s">
        <v>358</v>
      </c>
      <c r="C1" t="s">
        <v>358</v>
      </c>
      <c r="D1" t="s">
        <v>358</v>
      </c>
      <c r="E1" t="s">
        <v>358</v>
      </c>
      <c r="F1" t="s">
        <v>358</v>
      </c>
    </row>
    <row r="2" spans="1:11" x14ac:dyDescent="0.4">
      <c r="A2" s="4">
        <v>548</v>
      </c>
      <c r="B2" s="4">
        <v>239</v>
      </c>
      <c r="C2" s="4">
        <v>181</v>
      </c>
      <c r="D2" s="4">
        <v>226</v>
      </c>
      <c r="E2" s="4">
        <v>775</v>
      </c>
      <c r="F2" s="4">
        <v>958</v>
      </c>
      <c r="G2" t="str">
        <f>IF(MOD(A2,1),1,"")</f>
        <v/>
      </c>
    </row>
    <row r="3" spans="1:11" x14ac:dyDescent="0.4">
      <c r="A3" s="4">
        <v>226</v>
      </c>
      <c r="B3" s="4">
        <v>690</v>
      </c>
      <c r="C3" s="4">
        <v>545</v>
      </c>
      <c r="D3" s="4">
        <v>763</v>
      </c>
      <c r="E3" s="4">
        <v>364</v>
      </c>
      <c r="F3" s="4">
        <v>982</v>
      </c>
      <c r="G3" t="str">
        <f t="shared" ref="G3:G52" si="0">IF(MOD(A3,1),1,"")</f>
        <v/>
      </c>
    </row>
    <row r="4" spans="1:11" x14ac:dyDescent="0.4">
      <c r="A4" s="4">
        <v>320</v>
      </c>
      <c r="B4" s="4">
        <v>823</v>
      </c>
      <c r="C4" s="4">
        <v>881</v>
      </c>
      <c r="D4" s="4">
        <v>994</v>
      </c>
      <c r="E4" s="4">
        <v>646</v>
      </c>
      <c r="F4" s="4">
        <v>491</v>
      </c>
      <c r="G4" t="str">
        <f t="shared" si="0"/>
        <v/>
      </c>
    </row>
    <row r="5" spans="1:11" x14ac:dyDescent="0.4">
      <c r="A5" s="4">
        <v>318</v>
      </c>
      <c r="B5" s="4">
        <v>621</v>
      </c>
      <c r="C5" s="4">
        <v>187</v>
      </c>
      <c r="D5" s="4">
        <v>564</v>
      </c>
      <c r="E5" s="4">
        <v>189</v>
      </c>
      <c r="F5" s="4">
        <v>794</v>
      </c>
      <c r="G5" t="str">
        <f t="shared" si="0"/>
        <v/>
      </c>
    </row>
    <row r="6" spans="1:11" x14ac:dyDescent="0.4">
      <c r="A6" s="4">
        <v>854</v>
      </c>
      <c r="B6" s="4">
        <v>647</v>
      </c>
      <c r="C6" s="4">
        <v>296</v>
      </c>
      <c r="D6" s="4">
        <v>294</v>
      </c>
      <c r="E6" s="4">
        <v>797</v>
      </c>
      <c r="F6" s="4">
        <v>379</v>
      </c>
      <c r="G6" t="str">
        <f t="shared" si="0"/>
        <v/>
      </c>
    </row>
    <row r="7" spans="1:11" x14ac:dyDescent="0.4">
      <c r="A7" s="4">
        <v>375</v>
      </c>
      <c r="B7" s="4">
        <v>374</v>
      </c>
      <c r="C7" s="4">
        <v>186</v>
      </c>
      <c r="D7" s="4">
        <v>275</v>
      </c>
      <c r="E7" s="4">
        <v>426</v>
      </c>
      <c r="F7" s="4">
        <v>258</v>
      </c>
      <c r="G7" t="str">
        <f t="shared" si="0"/>
        <v/>
      </c>
    </row>
    <row r="8" spans="1:11" x14ac:dyDescent="0.4">
      <c r="A8" s="4">
        <v>670</v>
      </c>
      <c r="B8" s="4">
        <v>529</v>
      </c>
      <c r="C8" s="4">
        <v>443</v>
      </c>
      <c r="D8" s="4">
        <v>792</v>
      </c>
      <c r="E8" s="4">
        <v>499</v>
      </c>
      <c r="F8" s="4">
        <v>890</v>
      </c>
      <c r="G8" t="str">
        <f t="shared" si="0"/>
        <v/>
      </c>
    </row>
    <row r="9" spans="1:11" x14ac:dyDescent="0.4">
      <c r="A9" s="4">
        <v>143</v>
      </c>
      <c r="B9" s="4">
        <v>950</v>
      </c>
      <c r="C9" s="4">
        <v>805</v>
      </c>
      <c r="D9" s="4">
        <v>570</v>
      </c>
      <c r="E9" s="4">
        <v>908</v>
      </c>
      <c r="F9" s="4">
        <v>774</v>
      </c>
      <c r="G9" t="str">
        <f t="shared" si="0"/>
        <v/>
      </c>
      <c r="I9" t="s">
        <v>408</v>
      </c>
      <c r="J9" s="3">
        <f t="array" ref="J9">COUNT(IF(MOD($A$2:$F$52,1),1,""))</f>
        <v>16</v>
      </c>
      <c r="K9" cm="1">
        <f t="array" ref="K9">COUNT(IF(MOD($A$2:$F$52,1),1,""))</f>
        <v>16</v>
      </c>
    </row>
    <row r="10" spans="1:11" x14ac:dyDescent="0.4">
      <c r="A10" s="4">
        <v>609</v>
      </c>
      <c r="B10" s="4">
        <v>217</v>
      </c>
      <c r="C10" s="4">
        <v>729</v>
      </c>
      <c r="D10" s="4">
        <v>142</v>
      </c>
      <c r="E10" s="4">
        <v>272</v>
      </c>
      <c r="F10" s="4">
        <v>440</v>
      </c>
      <c r="G10" t="str">
        <f t="shared" si="0"/>
        <v/>
      </c>
      <c r="I10" t="s">
        <v>409</v>
      </c>
      <c r="J10" s="3">
        <f t="array" ref="J10">COUNT(IF(NOT(MOD($A$2:$F$52,1)),1,""))</f>
        <v>290</v>
      </c>
      <c r="K10" cm="1">
        <f t="array" ref="K10">COUNT(IF(NOT(MOD($A$2:$F$52,1)),1,""))</f>
        <v>290</v>
      </c>
    </row>
    <row r="11" spans="1:11" x14ac:dyDescent="0.4">
      <c r="A11" s="4">
        <v>775</v>
      </c>
      <c r="B11" s="4">
        <v>783</v>
      </c>
      <c r="C11" s="4">
        <v>986</v>
      </c>
      <c r="D11" s="4">
        <v>947</v>
      </c>
      <c r="E11" s="4">
        <v>291</v>
      </c>
      <c r="F11" s="4">
        <v>562</v>
      </c>
      <c r="G11" t="str">
        <f t="shared" si="0"/>
        <v/>
      </c>
    </row>
    <row r="12" spans="1:11" x14ac:dyDescent="0.4">
      <c r="A12" s="4">
        <v>820</v>
      </c>
      <c r="B12" s="4">
        <v>772</v>
      </c>
      <c r="C12" s="4">
        <v>775</v>
      </c>
      <c r="D12" s="4">
        <v>186</v>
      </c>
      <c r="E12" s="4">
        <v>755</v>
      </c>
      <c r="F12" s="4">
        <v>760</v>
      </c>
      <c r="G12" t="str">
        <f t="shared" si="0"/>
        <v/>
      </c>
    </row>
    <row r="13" spans="1:11" x14ac:dyDescent="0.4">
      <c r="A13" s="4">
        <v>237</v>
      </c>
      <c r="B13" s="4">
        <v>236</v>
      </c>
      <c r="C13" s="4">
        <v>484</v>
      </c>
      <c r="D13" s="4">
        <v>343</v>
      </c>
      <c r="E13" s="4">
        <v>290</v>
      </c>
      <c r="F13" s="4">
        <v>617</v>
      </c>
      <c r="G13" t="str">
        <f t="shared" si="0"/>
        <v/>
      </c>
    </row>
    <row r="14" spans="1:11" x14ac:dyDescent="0.4">
      <c r="A14" s="4">
        <v>391</v>
      </c>
      <c r="B14" s="4">
        <v>628</v>
      </c>
      <c r="C14" s="4">
        <v>963</v>
      </c>
      <c r="D14" s="4">
        <v>853</v>
      </c>
      <c r="E14" s="4">
        <v>654</v>
      </c>
      <c r="F14" s="4">
        <v>193</v>
      </c>
      <c r="G14" t="str">
        <f t="shared" si="0"/>
        <v/>
      </c>
    </row>
    <row r="15" spans="1:11" x14ac:dyDescent="0.4">
      <c r="A15" s="4">
        <v>882</v>
      </c>
      <c r="B15" s="4">
        <v>22.3</v>
      </c>
      <c r="C15" s="4">
        <v>393</v>
      </c>
      <c r="D15" s="4">
        <v>362</v>
      </c>
      <c r="E15" s="4">
        <v>900</v>
      </c>
      <c r="F15" s="4">
        <v>432</v>
      </c>
      <c r="G15" t="str">
        <f t="shared" si="0"/>
        <v/>
      </c>
    </row>
    <row r="16" spans="1:11" x14ac:dyDescent="0.4">
      <c r="A16" s="4">
        <v>714</v>
      </c>
      <c r="B16" s="4">
        <v>236.2</v>
      </c>
      <c r="C16" s="4">
        <v>682</v>
      </c>
      <c r="D16" s="4">
        <v>297</v>
      </c>
      <c r="E16" s="4">
        <v>168</v>
      </c>
      <c r="F16" s="4">
        <v>637</v>
      </c>
      <c r="G16" t="str">
        <f t="shared" si="0"/>
        <v/>
      </c>
    </row>
    <row r="17" spans="1:7" x14ac:dyDescent="0.4">
      <c r="A17" s="4">
        <v>154</v>
      </c>
      <c r="B17" s="4">
        <v>36.799999999999997</v>
      </c>
      <c r="C17" s="4">
        <v>707</v>
      </c>
      <c r="D17" s="4">
        <v>898</v>
      </c>
      <c r="E17" s="4">
        <v>629</v>
      </c>
      <c r="F17" s="4">
        <v>853</v>
      </c>
      <c r="G17" t="str">
        <f t="shared" si="0"/>
        <v/>
      </c>
    </row>
    <row r="18" spans="1:7" x14ac:dyDescent="0.4">
      <c r="A18" s="4">
        <v>118</v>
      </c>
      <c r="B18" s="4">
        <v>849</v>
      </c>
      <c r="C18" s="4">
        <v>964</v>
      </c>
      <c r="D18" s="4">
        <v>22.5</v>
      </c>
      <c r="E18" s="4">
        <v>959</v>
      </c>
      <c r="F18" s="4">
        <v>148</v>
      </c>
      <c r="G18" t="str">
        <f t="shared" si="0"/>
        <v/>
      </c>
    </row>
    <row r="19" spans="1:7" x14ac:dyDescent="0.4">
      <c r="A19" s="4">
        <v>312</v>
      </c>
      <c r="B19" s="4">
        <v>153</v>
      </c>
      <c r="C19" s="4">
        <v>341</v>
      </c>
      <c r="D19" s="4">
        <v>453</v>
      </c>
      <c r="E19" s="4">
        <v>805</v>
      </c>
      <c r="F19" s="4">
        <v>156</v>
      </c>
      <c r="G19" t="str">
        <f t="shared" si="0"/>
        <v/>
      </c>
    </row>
    <row r="20" spans="1:7" x14ac:dyDescent="0.4">
      <c r="A20" s="4">
        <v>450</v>
      </c>
      <c r="B20" s="4">
        <v>653</v>
      </c>
      <c r="C20" s="4">
        <v>234</v>
      </c>
      <c r="D20" s="4">
        <v>916</v>
      </c>
      <c r="E20" s="4">
        <v>170</v>
      </c>
      <c r="F20" s="4">
        <v>883</v>
      </c>
      <c r="G20" t="str">
        <f t="shared" si="0"/>
        <v/>
      </c>
    </row>
    <row r="21" spans="1:7" x14ac:dyDescent="0.4">
      <c r="A21" s="4">
        <v>632</v>
      </c>
      <c r="B21" s="4">
        <v>808</v>
      </c>
      <c r="C21" s="4">
        <v>369.2</v>
      </c>
      <c r="D21" s="4">
        <v>714</v>
      </c>
      <c r="E21" s="4">
        <v>263</v>
      </c>
      <c r="F21" s="4">
        <v>398</v>
      </c>
      <c r="G21" t="str">
        <f t="shared" si="0"/>
        <v/>
      </c>
    </row>
    <row r="22" spans="1:7" x14ac:dyDescent="0.4">
      <c r="A22" s="4">
        <v>691</v>
      </c>
      <c r="B22" s="4">
        <v>615</v>
      </c>
      <c r="C22" s="4">
        <v>318</v>
      </c>
      <c r="D22" s="4">
        <v>725</v>
      </c>
      <c r="E22" s="4">
        <v>268</v>
      </c>
      <c r="F22" s="4">
        <v>315</v>
      </c>
      <c r="G22" t="str">
        <f t="shared" si="0"/>
        <v/>
      </c>
    </row>
    <row r="23" spans="1:7" x14ac:dyDescent="0.4">
      <c r="A23" s="4">
        <v>904</v>
      </c>
      <c r="B23" s="4">
        <v>3.2654999999999998</v>
      </c>
      <c r="C23" s="4">
        <v>374</v>
      </c>
      <c r="D23" s="4">
        <v>525</v>
      </c>
      <c r="E23" s="4">
        <v>111</v>
      </c>
      <c r="F23" s="4">
        <v>884</v>
      </c>
      <c r="G23" t="str">
        <f t="shared" si="0"/>
        <v/>
      </c>
    </row>
    <row r="24" spans="1:7" x14ac:dyDescent="0.4">
      <c r="A24" s="4">
        <v>687</v>
      </c>
      <c r="B24" s="4">
        <v>803</v>
      </c>
      <c r="C24" s="4">
        <v>613</v>
      </c>
      <c r="D24" s="4">
        <v>103</v>
      </c>
      <c r="E24" s="4">
        <v>544</v>
      </c>
      <c r="F24" s="4">
        <v>572</v>
      </c>
      <c r="G24" t="str">
        <f t="shared" si="0"/>
        <v/>
      </c>
    </row>
    <row r="25" spans="1:7" x14ac:dyDescent="0.4">
      <c r="A25" s="4">
        <v>183</v>
      </c>
      <c r="B25" s="4">
        <v>417</v>
      </c>
      <c r="C25" s="4">
        <v>448</v>
      </c>
      <c r="D25" s="4">
        <v>800</v>
      </c>
      <c r="E25" s="4">
        <v>560</v>
      </c>
      <c r="F25" s="4">
        <v>458</v>
      </c>
      <c r="G25" t="str">
        <f t="shared" si="0"/>
        <v/>
      </c>
    </row>
    <row r="26" spans="1:7" x14ac:dyDescent="0.4">
      <c r="A26" s="4">
        <v>735</v>
      </c>
      <c r="B26" s="4">
        <v>829</v>
      </c>
      <c r="C26" s="4">
        <v>103</v>
      </c>
      <c r="D26" s="4">
        <v>6.6</v>
      </c>
      <c r="E26" s="4">
        <v>433</v>
      </c>
      <c r="F26" s="4">
        <v>6.33</v>
      </c>
      <c r="G26" t="str">
        <f t="shared" si="0"/>
        <v/>
      </c>
    </row>
    <row r="27" spans="1:7" x14ac:dyDescent="0.4">
      <c r="A27" s="4">
        <v>520</v>
      </c>
      <c r="B27" s="4">
        <v>771</v>
      </c>
      <c r="C27" s="4">
        <v>891</v>
      </c>
      <c r="D27" s="4">
        <v>648</v>
      </c>
      <c r="E27" s="4">
        <v>791</v>
      </c>
      <c r="F27" s="4">
        <v>445</v>
      </c>
      <c r="G27" t="str">
        <f t="shared" si="0"/>
        <v/>
      </c>
    </row>
    <row r="28" spans="1:7" x14ac:dyDescent="0.4">
      <c r="A28" s="4">
        <v>144</v>
      </c>
      <c r="B28" s="4">
        <v>535</v>
      </c>
      <c r="C28" s="4">
        <v>210</v>
      </c>
      <c r="D28" s="4">
        <v>441</v>
      </c>
      <c r="E28" s="4">
        <v>239</v>
      </c>
      <c r="F28" s="4">
        <v>825</v>
      </c>
      <c r="G28" t="str">
        <f t="shared" si="0"/>
        <v/>
      </c>
    </row>
    <row r="29" spans="1:7" x14ac:dyDescent="0.4">
      <c r="A29" s="4">
        <v>857</v>
      </c>
      <c r="B29" s="4">
        <v>551</v>
      </c>
      <c r="C29" s="4">
        <v>474</v>
      </c>
      <c r="D29" s="4">
        <v>641</v>
      </c>
      <c r="E29" s="4">
        <v>376</v>
      </c>
      <c r="F29" s="4">
        <v>582</v>
      </c>
      <c r="G29" t="str">
        <f t="shared" si="0"/>
        <v/>
      </c>
    </row>
    <row r="30" spans="1:7" x14ac:dyDescent="0.4">
      <c r="A30" s="4">
        <v>953</v>
      </c>
      <c r="B30" s="4">
        <v>328</v>
      </c>
      <c r="C30" s="4">
        <v>797</v>
      </c>
      <c r="D30" s="4">
        <v>770</v>
      </c>
      <c r="E30" s="4">
        <v>735</v>
      </c>
      <c r="F30" s="4">
        <v>265</v>
      </c>
      <c r="G30" t="str">
        <f t="shared" si="0"/>
        <v/>
      </c>
    </row>
    <row r="31" spans="1:7" x14ac:dyDescent="0.4">
      <c r="A31" s="4">
        <v>500</v>
      </c>
      <c r="B31" s="4">
        <v>1000</v>
      </c>
      <c r="C31" s="4">
        <v>738</v>
      </c>
      <c r="D31" s="4">
        <v>0.2</v>
      </c>
      <c r="E31" s="4">
        <v>335</v>
      </c>
      <c r="F31" s="4">
        <v>882</v>
      </c>
      <c r="G31" t="str">
        <f t="shared" si="0"/>
        <v/>
      </c>
    </row>
    <row r="32" spans="1:7" x14ac:dyDescent="0.4">
      <c r="A32" s="4">
        <v>958</v>
      </c>
      <c r="B32" s="4">
        <v>145</v>
      </c>
      <c r="C32" s="4">
        <v>909</v>
      </c>
      <c r="D32" s="4">
        <v>154</v>
      </c>
      <c r="E32" s="4">
        <v>567</v>
      </c>
      <c r="F32" s="4">
        <v>762</v>
      </c>
      <c r="G32" t="str">
        <f t="shared" si="0"/>
        <v/>
      </c>
    </row>
    <row r="33" spans="1:7" x14ac:dyDescent="0.4">
      <c r="A33" s="4">
        <v>580</v>
      </c>
      <c r="B33" s="20">
        <v>215</v>
      </c>
      <c r="C33" s="20">
        <v>919</v>
      </c>
      <c r="D33" s="4">
        <v>829</v>
      </c>
      <c r="E33" s="4">
        <v>908</v>
      </c>
      <c r="F33" s="4">
        <v>685</v>
      </c>
      <c r="G33" t="str">
        <f t="shared" si="0"/>
        <v/>
      </c>
    </row>
    <row r="34" spans="1:7" x14ac:dyDescent="0.4">
      <c r="A34" s="4">
        <v>212</v>
      </c>
      <c r="B34" s="20">
        <v>305</v>
      </c>
      <c r="C34" s="20">
        <v>709</v>
      </c>
      <c r="D34" s="4">
        <v>356</v>
      </c>
      <c r="E34" s="4">
        <v>806</v>
      </c>
      <c r="F34" s="4">
        <v>652</v>
      </c>
      <c r="G34" t="str">
        <f t="shared" si="0"/>
        <v/>
      </c>
    </row>
    <row r="35" spans="1:7" x14ac:dyDescent="0.4">
      <c r="A35" s="4">
        <v>547</v>
      </c>
      <c r="B35" s="20">
        <v>674</v>
      </c>
      <c r="C35" s="20">
        <v>622</v>
      </c>
      <c r="D35" s="4">
        <v>626</v>
      </c>
      <c r="E35" s="4">
        <v>955</v>
      </c>
      <c r="F35" s="4">
        <v>806</v>
      </c>
      <c r="G35" t="str">
        <f t="shared" si="0"/>
        <v/>
      </c>
    </row>
    <row r="36" spans="1:7" x14ac:dyDescent="0.4">
      <c r="A36" s="4">
        <v>537</v>
      </c>
      <c r="B36" s="20">
        <v>275</v>
      </c>
      <c r="C36" s="20">
        <v>133</v>
      </c>
      <c r="D36" s="4">
        <v>797</v>
      </c>
      <c r="E36" s="4">
        <v>864</v>
      </c>
      <c r="F36" s="4">
        <v>357</v>
      </c>
      <c r="G36" t="str">
        <f t="shared" si="0"/>
        <v/>
      </c>
    </row>
    <row r="37" spans="1:7" x14ac:dyDescent="0.4">
      <c r="A37" s="4">
        <v>331</v>
      </c>
      <c r="B37" s="20">
        <v>286</v>
      </c>
      <c r="C37" s="20">
        <v>377</v>
      </c>
      <c r="D37" s="4">
        <v>704</v>
      </c>
      <c r="E37" s="4">
        <v>635</v>
      </c>
      <c r="F37" s="4">
        <v>803</v>
      </c>
      <c r="G37" t="str">
        <f t="shared" si="0"/>
        <v/>
      </c>
    </row>
    <row r="38" spans="1:7" x14ac:dyDescent="0.4">
      <c r="A38" s="4">
        <v>312</v>
      </c>
      <c r="B38" s="20">
        <v>751</v>
      </c>
      <c r="C38" s="20">
        <v>734</v>
      </c>
      <c r="D38" s="4">
        <v>478</v>
      </c>
      <c r="E38" s="4">
        <v>527</v>
      </c>
      <c r="F38" s="4">
        <v>265</v>
      </c>
      <c r="G38" t="str">
        <f t="shared" si="0"/>
        <v/>
      </c>
    </row>
    <row r="39" spans="1:7" x14ac:dyDescent="0.4">
      <c r="A39" s="4">
        <v>677</v>
      </c>
      <c r="B39" s="20">
        <v>692</v>
      </c>
      <c r="C39" s="20">
        <v>740</v>
      </c>
      <c r="D39" s="4">
        <v>331</v>
      </c>
      <c r="E39" s="4">
        <v>798</v>
      </c>
      <c r="F39" s="4">
        <v>128</v>
      </c>
      <c r="G39" t="str">
        <f t="shared" si="0"/>
        <v/>
      </c>
    </row>
    <row r="40" spans="1:7" x14ac:dyDescent="0.4">
      <c r="A40" s="4">
        <v>384</v>
      </c>
      <c r="B40" s="4">
        <v>439</v>
      </c>
      <c r="C40" s="4">
        <v>730</v>
      </c>
      <c r="D40" s="4">
        <v>618</v>
      </c>
      <c r="E40" s="4">
        <v>699</v>
      </c>
      <c r="F40" s="4">
        <v>773</v>
      </c>
      <c r="G40" t="str">
        <f t="shared" si="0"/>
        <v/>
      </c>
    </row>
    <row r="41" spans="1:7" x14ac:dyDescent="0.4">
      <c r="A41" s="4">
        <v>808</v>
      </c>
      <c r="B41" s="4">
        <v>9.1999999999999993</v>
      </c>
      <c r="C41" s="4">
        <v>202</v>
      </c>
      <c r="D41" s="4">
        <v>582</v>
      </c>
      <c r="E41" s="4">
        <v>258</v>
      </c>
      <c r="F41" s="4">
        <v>231</v>
      </c>
      <c r="G41" t="str">
        <f t="shared" si="0"/>
        <v/>
      </c>
    </row>
    <row r="42" spans="1:7" x14ac:dyDescent="0.4">
      <c r="A42" s="4">
        <v>884</v>
      </c>
      <c r="B42" s="4">
        <v>403</v>
      </c>
      <c r="C42" s="4">
        <v>159</v>
      </c>
      <c r="D42" s="4">
        <v>109</v>
      </c>
      <c r="E42" s="4">
        <v>121</v>
      </c>
      <c r="F42" s="4">
        <v>780</v>
      </c>
      <c r="G42" t="str">
        <f t="shared" si="0"/>
        <v/>
      </c>
    </row>
    <row r="43" spans="1:7" x14ac:dyDescent="0.4">
      <c r="A43" s="4">
        <v>401</v>
      </c>
      <c r="B43" s="4">
        <v>754</v>
      </c>
      <c r="C43" s="4">
        <v>890</v>
      </c>
      <c r="D43" s="4">
        <v>6.3</v>
      </c>
      <c r="E43" s="4">
        <v>617</v>
      </c>
      <c r="F43" s="4">
        <v>679</v>
      </c>
      <c r="G43" t="str">
        <f t="shared" si="0"/>
        <v/>
      </c>
    </row>
    <row r="44" spans="1:7" x14ac:dyDescent="0.4">
      <c r="A44" s="4">
        <v>571</v>
      </c>
      <c r="B44" s="4">
        <v>789</v>
      </c>
      <c r="C44" s="4">
        <v>195</v>
      </c>
      <c r="D44" s="4">
        <v>997</v>
      </c>
      <c r="E44" s="4">
        <v>554</v>
      </c>
      <c r="F44" s="4">
        <v>380</v>
      </c>
      <c r="G44" t="str">
        <f t="shared" si="0"/>
        <v/>
      </c>
    </row>
    <row r="45" spans="1:7" x14ac:dyDescent="0.4">
      <c r="A45" s="4">
        <v>313</v>
      </c>
      <c r="B45" s="4">
        <v>815</v>
      </c>
      <c r="C45" s="4">
        <v>265</v>
      </c>
      <c r="D45" s="4">
        <v>0.999</v>
      </c>
      <c r="E45" s="4">
        <v>275</v>
      </c>
      <c r="F45" s="4">
        <v>459</v>
      </c>
      <c r="G45" t="str">
        <f t="shared" si="0"/>
        <v/>
      </c>
    </row>
    <row r="46" spans="1:7" x14ac:dyDescent="0.4">
      <c r="A46" s="4">
        <v>0.999</v>
      </c>
      <c r="B46" s="4">
        <v>273</v>
      </c>
      <c r="C46" s="4">
        <v>734</v>
      </c>
      <c r="D46" s="4">
        <v>598</v>
      </c>
      <c r="E46" s="4">
        <v>513</v>
      </c>
      <c r="F46" s="4">
        <v>941</v>
      </c>
    </row>
    <row r="47" spans="1:7" x14ac:dyDescent="0.4">
      <c r="A47" s="4">
        <v>633</v>
      </c>
      <c r="B47" s="4">
        <v>346</v>
      </c>
      <c r="C47" s="4">
        <v>526</v>
      </c>
      <c r="D47" s="4">
        <v>888</v>
      </c>
      <c r="E47" s="4">
        <v>933</v>
      </c>
      <c r="F47" s="4">
        <v>684</v>
      </c>
      <c r="G47" t="str">
        <f t="shared" si="0"/>
        <v/>
      </c>
    </row>
    <row r="48" spans="1:7" x14ac:dyDescent="0.4">
      <c r="A48" s="4">
        <v>722</v>
      </c>
      <c r="B48" s="4">
        <v>129</v>
      </c>
      <c r="C48" s="4">
        <v>165</v>
      </c>
      <c r="D48" s="4">
        <v>946</v>
      </c>
      <c r="E48" s="4">
        <v>184</v>
      </c>
      <c r="F48" s="4">
        <v>749</v>
      </c>
      <c r="G48" t="str">
        <f t="shared" si="0"/>
        <v/>
      </c>
    </row>
    <row r="49" spans="1:7" x14ac:dyDescent="0.4">
      <c r="A49" s="4">
        <v>567</v>
      </c>
      <c r="B49" s="4">
        <v>966</v>
      </c>
      <c r="C49" s="4">
        <v>100</v>
      </c>
      <c r="D49" s="4">
        <v>881</v>
      </c>
      <c r="E49" s="4">
        <v>858</v>
      </c>
      <c r="F49" s="4">
        <v>142</v>
      </c>
      <c r="G49" t="str">
        <f t="shared" si="0"/>
        <v/>
      </c>
    </row>
    <row r="50" spans="1:7" x14ac:dyDescent="0.4">
      <c r="A50" s="4">
        <v>926</v>
      </c>
      <c r="B50" s="4">
        <v>911</v>
      </c>
      <c r="C50" s="4">
        <v>571</v>
      </c>
      <c r="D50" s="4">
        <v>311</v>
      </c>
      <c r="E50" s="4">
        <v>3.3668999999999998</v>
      </c>
      <c r="F50" s="4">
        <v>555</v>
      </c>
      <c r="G50" t="str">
        <f t="shared" si="0"/>
        <v/>
      </c>
    </row>
    <row r="51" spans="1:7" x14ac:dyDescent="0.4">
      <c r="A51" s="4">
        <v>764</v>
      </c>
      <c r="B51" s="4">
        <v>667</v>
      </c>
      <c r="C51" s="4">
        <v>0.6</v>
      </c>
      <c r="D51" s="4">
        <v>0.1</v>
      </c>
      <c r="E51" s="4">
        <v>175</v>
      </c>
      <c r="F51" s="4">
        <v>759</v>
      </c>
      <c r="G51" t="str">
        <f t="shared" si="0"/>
        <v/>
      </c>
    </row>
    <row r="52" spans="1:7" x14ac:dyDescent="0.4">
      <c r="A52" s="4">
        <v>637</v>
      </c>
      <c r="B52" s="4">
        <v>114</v>
      </c>
      <c r="C52" s="4">
        <v>835</v>
      </c>
      <c r="D52" s="4">
        <v>803</v>
      </c>
      <c r="E52" s="4">
        <v>983</v>
      </c>
      <c r="F52" s="4">
        <v>982</v>
      </c>
      <c r="G52" t="str">
        <f t="shared" si="0"/>
        <v/>
      </c>
    </row>
  </sheetData>
  <autoFilter ref="A1:F5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F47"/>
  <sheetViews>
    <sheetView topLeftCell="N1" workbookViewId="0">
      <selection activeCell="X5" sqref="X5:AA5"/>
    </sheetView>
  </sheetViews>
  <sheetFormatPr defaultRowHeight="14.6" x14ac:dyDescent="0.4"/>
  <cols>
    <col min="1" max="1" width="17.69140625" bestFit="1" customWidth="1"/>
    <col min="5" max="5" width="11.3046875" bestFit="1" customWidth="1"/>
    <col min="10" max="10" width="11.3828125" bestFit="1" customWidth="1"/>
    <col min="11" max="11" width="14.69140625" bestFit="1" customWidth="1"/>
    <col min="12" max="12" width="14.15234375" bestFit="1" customWidth="1"/>
    <col min="13" max="13" width="11.3828125" bestFit="1" customWidth="1"/>
    <col min="21" max="21" width="10.84375" bestFit="1" customWidth="1"/>
  </cols>
  <sheetData>
    <row r="1" spans="1:32" ht="85.3" thickBot="1" x14ac:dyDescent="0.45">
      <c r="A1" s="21" t="s">
        <v>410</v>
      </c>
      <c r="B1" s="22" t="s">
        <v>5</v>
      </c>
      <c r="C1" s="22" t="s">
        <v>411</v>
      </c>
      <c r="D1" s="22" t="s">
        <v>29</v>
      </c>
      <c r="E1" s="23" t="s">
        <v>412</v>
      </c>
      <c r="F1" s="23" t="s">
        <v>413</v>
      </c>
      <c r="G1" s="22" t="s">
        <v>5</v>
      </c>
      <c r="H1" s="22" t="s">
        <v>411</v>
      </c>
      <c r="I1" s="22" t="s">
        <v>29</v>
      </c>
      <c r="J1" s="24" t="s">
        <v>414</v>
      </c>
      <c r="K1" s="24" t="s">
        <v>415</v>
      </c>
      <c r="L1" s="21" t="s">
        <v>416</v>
      </c>
      <c r="M1" s="21" t="s">
        <v>417</v>
      </c>
      <c r="N1" s="21" t="s">
        <v>418</v>
      </c>
      <c r="O1" s="21" t="s">
        <v>419</v>
      </c>
      <c r="P1" s="21" t="s">
        <v>420</v>
      </c>
      <c r="Q1" s="21" t="s">
        <v>421</v>
      </c>
      <c r="R1" s="21" t="s">
        <v>422</v>
      </c>
      <c r="S1" s="21" t="s">
        <v>423</v>
      </c>
      <c r="T1" s="21" t="s">
        <v>424</v>
      </c>
      <c r="U1" s="21" t="s">
        <v>425</v>
      </c>
    </row>
    <row r="2" spans="1:32" ht="15" thickBot="1" x14ac:dyDescent="0.45">
      <c r="A2" s="25" t="s">
        <v>426</v>
      </c>
      <c r="B2" s="26">
        <v>3</v>
      </c>
      <c r="C2" s="26" t="s">
        <v>427</v>
      </c>
      <c r="D2" s="26">
        <v>2011</v>
      </c>
      <c r="E2" s="27" t="s">
        <v>428</v>
      </c>
      <c r="F2" s="28" t="s">
        <v>429</v>
      </c>
      <c r="G2" s="26">
        <v>30</v>
      </c>
      <c r="H2" s="26" t="s">
        <v>430</v>
      </c>
      <c r="I2" s="26">
        <v>2007</v>
      </c>
      <c r="J2" s="27" t="s">
        <v>431</v>
      </c>
      <c r="K2" s="29" t="s">
        <v>432</v>
      </c>
      <c r="L2" s="25" t="s">
        <v>433</v>
      </c>
      <c r="M2" s="25" t="s">
        <v>434</v>
      </c>
      <c r="N2" s="25" t="s">
        <v>435</v>
      </c>
      <c r="O2" s="25" t="s">
        <v>436</v>
      </c>
      <c r="P2" s="25" t="s">
        <v>436</v>
      </c>
      <c r="Q2" s="25" t="s">
        <v>436</v>
      </c>
      <c r="R2" s="25"/>
      <c r="S2" s="25" t="s">
        <v>437</v>
      </c>
      <c r="T2" s="25" t="s">
        <v>438</v>
      </c>
      <c r="U2" s="25" t="s">
        <v>439</v>
      </c>
    </row>
    <row r="3" spans="1:32" ht="15" thickBot="1" x14ac:dyDescent="0.45">
      <c r="A3" s="25" t="s">
        <v>440</v>
      </c>
      <c r="B3" s="26">
        <v>23</v>
      </c>
      <c r="C3" s="26" t="s">
        <v>441</v>
      </c>
      <c r="D3" s="26">
        <v>2011</v>
      </c>
      <c r="E3" s="30" t="s">
        <v>442</v>
      </c>
      <c r="F3" s="28" t="s">
        <v>443</v>
      </c>
      <c r="G3" s="26">
        <v>14</v>
      </c>
      <c r="H3" s="26" t="s">
        <v>444</v>
      </c>
      <c r="I3" s="26">
        <v>2006</v>
      </c>
      <c r="J3" s="30" t="s">
        <v>445</v>
      </c>
      <c r="K3" s="31" t="s">
        <v>432</v>
      </c>
      <c r="L3" s="28" t="s">
        <v>446</v>
      </c>
      <c r="M3" s="28" t="s">
        <v>434</v>
      </c>
      <c r="N3" s="28" t="s">
        <v>447</v>
      </c>
      <c r="O3" s="28" t="s">
        <v>436</v>
      </c>
      <c r="P3" s="28" t="s">
        <v>436</v>
      </c>
      <c r="Q3" s="28" t="s">
        <v>436</v>
      </c>
      <c r="R3" s="28"/>
      <c r="S3" s="28" t="s">
        <v>448</v>
      </c>
      <c r="T3" s="28" t="s">
        <v>449</v>
      </c>
      <c r="U3" s="28" t="s">
        <v>450</v>
      </c>
      <c r="X3" s="62" t="s">
        <v>439</v>
      </c>
      <c r="Y3" s="63"/>
      <c r="Z3" s="62" t="s">
        <v>473</v>
      </c>
      <c r="AA3" s="63"/>
      <c r="AC3" s="64" t="s">
        <v>439</v>
      </c>
      <c r="AD3" s="64"/>
      <c r="AE3" s="64"/>
      <c r="AF3" s="64"/>
    </row>
    <row r="4" spans="1:32" ht="15" thickBot="1" x14ac:dyDescent="0.45">
      <c r="A4" s="25" t="s">
        <v>451</v>
      </c>
      <c r="B4" s="26">
        <v>27</v>
      </c>
      <c r="C4" s="26" t="s">
        <v>427</v>
      </c>
      <c r="D4" s="26">
        <v>2011</v>
      </c>
      <c r="E4" s="30" t="s">
        <v>452</v>
      </c>
      <c r="F4" s="28" t="s">
        <v>453</v>
      </c>
      <c r="G4" s="26">
        <v>2</v>
      </c>
      <c r="H4" s="26" t="s">
        <v>454</v>
      </c>
      <c r="I4" s="26">
        <v>2008</v>
      </c>
      <c r="J4" s="30" t="s">
        <v>455</v>
      </c>
      <c r="K4" s="31" t="s">
        <v>432</v>
      </c>
      <c r="L4" s="28" t="s">
        <v>456</v>
      </c>
      <c r="M4" s="28" t="s">
        <v>434</v>
      </c>
      <c r="N4" s="28" t="s">
        <v>457</v>
      </c>
      <c r="O4" s="28" t="s">
        <v>436</v>
      </c>
      <c r="P4" s="28" t="s">
        <v>458</v>
      </c>
      <c r="Q4" s="28" t="s">
        <v>436</v>
      </c>
      <c r="R4" s="28"/>
      <c r="S4" s="28" t="s">
        <v>448</v>
      </c>
      <c r="T4" s="28" t="s">
        <v>438</v>
      </c>
      <c r="U4" s="28" t="s">
        <v>439</v>
      </c>
      <c r="X4" s="33" t="s">
        <v>706</v>
      </c>
      <c r="Y4" s="33" t="s">
        <v>707</v>
      </c>
      <c r="Z4" s="33" t="s">
        <v>706</v>
      </c>
      <c r="AA4" s="33" t="s">
        <v>707</v>
      </c>
      <c r="AC4" s="33" t="s">
        <v>438</v>
      </c>
      <c r="AD4" s="33" t="s">
        <v>708</v>
      </c>
      <c r="AE4" s="33" t="s">
        <v>449</v>
      </c>
      <c r="AF4" s="33" t="s">
        <v>709</v>
      </c>
    </row>
    <row r="5" spans="1:32" ht="15" thickBot="1" x14ac:dyDescent="0.45">
      <c r="A5" s="25" t="s">
        <v>459</v>
      </c>
      <c r="B5" s="26">
        <v>15</v>
      </c>
      <c r="C5" s="26" t="s">
        <v>427</v>
      </c>
      <c r="D5" s="26">
        <v>2012</v>
      </c>
      <c r="E5" s="30" t="s">
        <v>460</v>
      </c>
      <c r="F5" s="28" t="s">
        <v>461</v>
      </c>
      <c r="G5" s="26">
        <v>11</v>
      </c>
      <c r="H5" s="26" t="s">
        <v>462</v>
      </c>
      <c r="I5" s="26">
        <v>2005</v>
      </c>
      <c r="J5" s="30" t="s">
        <v>463</v>
      </c>
      <c r="K5" s="31" t="s">
        <v>464</v>
      </c>
      <c r="L5" s="28" t="s">
        <v>465</v>
      </c>
      <c r="M5" s="28" t="s">
        <v>434</v>
      </c>
      <c r="N5" s="28" t="s">
        <v>466</v>
      </c>
      <c r="O5" s="28" t="s">
        <v>436</v>
      </c>
      <c r="P5" s="28" t="s">
        <v>436</v>
      </c>
      <c r="Q5" s="28" t="s">
        <v>436</v>
      </c>
      <c r="R5" s="28"/>
      <c r="S5" s="28" t="s">
        <v>437</v>
      </c>
      <c r="T5" s="28" t="s">
        <v>438</v>
      </c>
      <c r="U5" s="28" t="s">
        <v>439</v>
      </c>
      <c r="X5" s="3">
        <f>COUNTIFS($S$2:$S$47,"Boy",$U$2:$U$47,$X$3)</f>
        <v>13</v>
      </c>
      <c r="Y5" s="3">
        <f>COUNTIFS($S$2:$S$47,"Girl",$U$2:$U$47,X3)</f>
        <v>8</v>
      </c>
      <c r="Z5" s="3">
        <f>COUNTIFS($S$2:$S$47,"Boy",$U$2:$U$47,$Z$3)</f>
        <v>13</v>
      </c>
      <c r="AA5" s="3">
        <f>COUNTIFS($S$2:$S$47,"Girl",$U$2:$U$47,$Z$3)</f>
        <v>9</v>
      </c>
      <c r="AC5">
        <f>COUNTIFS($T$2:$T$47,AC4,$U$2:$U$47,$AC$3)</f>
        <v>7</v>
      </c>
      <c r="AD5">
        <f>COUNTIFS($T$2:$T$47,AD4,$U$2:$U$47,$AC$3)</f>
        <v>0</v>
      </c>
      <c r="AE5">
        <f>COUNTIFS($T$2:$T$47,AE4,$U$2:$U$47,$AC$3)</f>
        <v>14</v>
      </c>
      <c r="AF5">
        <f>COUNTIFS($T$2:$T$47,AF4,$U$2:$U$47,$AC$3)</f>
        <v>0</v>
      </c>
    </row>
    <row r="6" spans="1:32" ht="15" thickBot="1" x14ac:dyDescent="0.45">
      <c r="A6" s="25" t="s">
        <v>467</v>
      </c>
      <c r="B6" s="26">
        <v>15</v>
      </c>
      <c r="C6" s="26" t="s">
        <v>427</v>
      </c>
      <c r="D6" s="26">
        <v>2012</v>
      </c>
      <c r="E6" s="30" t="s">
        <v>460</v>
      </c>
      <c r="F6" s="28" t="s">
        <v>468</v>
      </c>
      <c r="G6" s="26">
        <v>18</v>
      </c>
      <c r="H6" s="26" t="s">
        <v>462</v>
      </c>
      <c r="I6" s="26">
        <v>2007</v>
      </c>
      <c r="J6" s="30" t="s">
        <v>469</v>
      </c>
      <c r="K6" s="31" t="s">
        <v>464</v>
      </c>
      <c r="L6" s="28" t="s">
        <v>470</v>
      </c>
      <c r="M6" s="28" t="s">
        <v>471</v>
      </c>
      <c r="N6" s="28" t="s">
        <v>472</v>
      </c>
      <c r="O6" s="28" t="s">
        <v>436</v>
      </c>
      <c r="P6" s="28" t="s">
        <v>436</v>
      </c>
      <c r="Q6" s="28" t="s">
        <v>436</v>
      </c>
      <c r="R6" s="28"/>
      <c r="S6" s="28" t="s">
        <v>437</v>
      </c>
      <c r="T6" s="28" t="s">
        <v>449</v>
      </c>
      <c r="U6" s="28" t="s">
        <v>473</v>
      </c>
    </row>
    <row r="7" spans="1:32" ht="15" thickBot="1" x14ac:dyDescent="0.45">
      <c r="A7" s="25" t="s">
        <v>474</v>
      </c>
      <c r="B7" s="26">
        <v>14</v>
      </c>
      <c r="C7" s="26" t="s">
        <v>475</v>
      </c>
      <c r="D7" s="26">
        <v>2012</v>
      </c>
      <c r="E7" s="30" t="s">
        <v>476</v>
      </c>
      <c r="F7" s="28" t="s">
        <v>477</v>
      </c>
      <c r="G7" s="26">
        <v>24</v>
      </c>
      <c r="H7" s="26" t="s">
        <v>475</v>
      </c>
      <c r="I7" s="26">
        <v>2007</v>
      </c>
      <c r="J7" s="30" t="s">
        <v>478</v>
      </c>
      <c r="K7" s="31" t="s">
        <v>464</v>
      </c>
      <c r="L7" s="28" t="s">
        <v>479</v>
      </c>
      <c r="M7" s="28" t="s">
        <v>436</v>
      </c>
      <c r="N7" s="28" t="s">
        <v>480</v>
      </c>
      <c r="O7" s="28" t="s">
        <v>436</v>
      </c>
      <c r="P7" s="28" t="s">
        <v>436</v>
      </c>
      <c r="Q7" s="28" t="s">
        <v>436</v>
      </c>
      <c r="R7" s="28"/>
      <c r="S7" s="28" t="s">
        <v>437</v>
      </c>
      <c r="T7" s="28" t="s">
        <v>438</v>
      </c>
      <c r="U7" s="28" t="s">
        <v>473</v>
      </c>
    </row>
    <row r="8" spans="1:32" ht="15" thickBot="1" x14ac:dyDescent="0.45">
      <c r="A8" s="25" t="s">
        <v>481</v>
      </c>
      <c r="B8" s="26">
        <v>1</v>
      </c>
      <c r="C8" s="26" t="s">
        <v>427</v>
      </c>
      <c r="D8" s="26">
        <v>2014</v>
      </c>
      <c r="E8" s="30" t="s">
        <v>482</v>
      </c>
      <c r="F8" s="28" t="s">
        <v>483</v>
      </c>
      <c r="G8" s="26">
        <v>28</v>
      </c>
      <c r="H8" s="26" t="s">
        <v>484</v>
      </c>
      <c r="I8" s="26">
        <v>2006</v>
      </c>
      <c r="J8" s="30" t="s">
        <v>485</v>
      </c>
      <c r="K8" s="31" t="s">
        <v>486</v>
      </c>
      <c r="L8" s="28" t="s">
        <v>487</v>
      </c>
      <c r="M8" s="28" t="s">
        <v>434</v>
      </c>
      <c r="N8" s="28" t="s">
        <v>488</v>
      </c>
      <c r="O8" s="28" t="s">
        <v>458</v>
      </c>
      <c r="P8" s="28" t="s">
        <v>436</v>
      </c>
      <c r="Q8" s="28" t="s">
        <v>436</v>
      </c>
      <c r="R8" s="28"/>
      <c r="S8" s="28" t="s">
        <v>437</v>
      </c>
      <c r="T8" s="28" t="s">
        <v>449</v>
      </c>
      <c r="U8" s="28" t="s">
        <v>439</v>
      </c>
    </row>
    <row r="9" spans="1:32" ht="15" thickBot="1" x14ac:dyDescent="0.45">
      <c r="A9" s="25" t="s">
        <v>489</v>
      </c>
      <c r="B9" s="26">
        <v>5</v>
      </c>
      <c r="C9" s="26" t="s">
        <v>427</v>
      </c>
      <c r="D9" s="26">
        <v>2014</v>
      </c>
      <c r="E9" s="30" t="s">
        <v>490</v>
      </c>
      <c r="F9" s="28" t="s">
        <v>491</v>
      </c>
      <c r="G9" s="26">
        <v>4</v>
      </c>
      <c r="H9" s="26" t="s">
        <v>444</v>
      </c>
      <c r="I9" s="26">
        <v>2006</v>
      </c>
      <c r="J9" s="30" t="s">
        <v>492</v>
      </c>
      <c r="K9" s="31" t="s">
        <v>493</v>
      </c>
      <c r="L9" s="28" t="s">
        <v>494</v>
      </c>
      <c r="M9" s="28" t="s">
        <v>436</v>
      </c>
      <c r="N9" s="28" t="s">
        <v>495</v>
      </c>
      <c r="O9" s="28" t="s">
        <v>436</v>
      </c>
      <c r="P9" s="28" t="s">
        <v>436</v>
      </c>
      <c r="Q9" s="28" t="s">
        <v>436</v>
      </c>
      <c r="R9" s="28"/>
      <c r="S9" s="28" t="s">
        <v>448</v>
      </c>
      <c r="T9" s="28" t="s">
        <v>449</v>
      </c>
      <c r="U9" s="28" t="s">
        <v>473</v>
      </c>
    </row>
    <row r="10" spans="1:32" x14ac:dyDescent="0.4">
      <c r="A10" s="25" t="s">
        <v>496</v>
      </c>
      <c r="B10" s="26">
        <v>28</v>
      </c>
      <c r="C10" s="26" t="s">
        <v>427</v>
      </c>
      <c r="D10" s="26">
        <v>2014</v>
      </c>
      <c r="E10" s="30" t="s">
        <v>497</v>
      </c>
      <c r="F10" s="28" t="s">
        <v>498</v>
      </c>
      <c r="G10" s="26" t="s">
        <v>386</v>
      </c>
      <c r="H10" s="26" t="s">
        <v>454</v>
      </c>
      <c r="I10" s="26">
        <v>2006</v>
      </c>
      <c r="J10" s="30" t="s">
        <v>499</v>
      </c>
      <c r="K10" s="31" t="s">
        <v>493</v>
      </c>
      <c r="L10" s="28" t="s">
        <v>500</v>
      </c>
      <c r="M10" s="28" t="s">
        <v>501</v>
      </c>
      <c r="N10" s="28" t="s">
        <v>502</v>
      </c>
      <c r="O10" s="28" t="s">
        <v>436</v>
      </c>
      <c r="P10" s="28" t="s">
        <v>436</v>
      </c>
      <c r="Q10" s="28" t="s">
        <v>436</v>
      </c>
      <c r="R10" s="28"/>
      <c r="S10" s="28" t="s">
        <v>437</v>
      </c>
      <c r="T10" s="28" t="s">
        <v>438</v>
      </c>
      <c r="U10" s="32" t="s">
        <v>473</v>
      </c>
    </row>
    <row r="11" spans="1:32" ht="15" thickBot="1" x14ac:dyDescent="0.45">
      <c r="A11" s="28" t="s">
        <v>503</v>
      </c>
      <c r="B11" s="26">
        <v>28</v>
      </c>
      <c r="C11" s="26" t="s">
        <v>427</v>
      </c>
      <c r="D11" s="26">
        <v>2014</v>
      </c>
      <c r="E11" s="30" t="s">
        <v>497</v>
      </c>
      <c r="F11" s="28" t="s">
        <v>504</v>
      </c>
      <c r="G11" s="26">
        <v>17</v>
      </c>
      <c r="H11" s="26" t="s">
        <v>462</v>
      </c>
      <c r="I11" s="26">
        <v>2006</v>
      </c>
      <c r="J11" s="30" t="s">
        <v>505</v>
      </c>
      <c r="K11" s="31" t="s">
        <v>493</v>
      </c>
      <c r="L11" s="28" t="s">
        <v>506</v>
      </c>
      <c r="M11" s="28" t="s">
        <v>434</v>
      </c>
      <c r="N11" s="28" t="s">
        <v>507</v>
      </c>
      <c r="O11" s="28" t="s">
        <v>436</v>
      </c>
      <c r="P11" s="28" t="s">
        <v>436</v>
      </c>
      <c r="Q11" s="28" t="s">
        <v>436</v>
      </c>
      <c r="R11" s="28"/>
      <c r="S11" s="28" t="s">
        <v>437</v>
      </c>
      <c r="T11" s="28" t="s">
        <v>438</v>
      </c>
      <c r="U11" s="32" t="s">
        <v>473</v>
      </c>
    </row>
    <row r="12" spans="1:32" x14ac:dyDescent="0.4">
      <c r="A12" s="28" t="s">
        <v>508</v>
      </c>
      <c r="B12" s="26">
        <v>23</v>
      </c>
      <c r="C12" s="26" t="s">
        <v>509</v>
      </c>
      <c r="D12" s="26">
        <v>2014</v>
      </c>
      <c r="E12" s="27" t="s">
        <v>510</v>
      </c>
      <c r="F12" s="28" t="s">
        <v>511</v>
      </c>
      <c r="G12" s="26">
        <v>29</v>
      </c>
      <c r="H12" s="26" t="s">
        <v>512</v>
      </c>
      <c r="I12" s="26">
        <v>2009</v>
      </c>
      <c r="J12" s="27" t="s">
        <v>513</v>
      </c>
      <c r="K12" s="29" t="s">
        <v>464</v>
      </c>
      <c r="L12" s="25" t="s">
        <v>514</v>
      </c>
      <c r="M12" s="25" t="s">
        <v>434</v>
      </c>
      <c r="N12" s="25" t="s">
        <v>472</v>
      </c>
      <c r="O12" s="25" t="s">
        <v>436</v>
      </c>
      <c r="P12" s="25" t="s">
        <v>458</v>
      </c>
      <c r="Q12" s="25" t="s">
        <v>436</v>
      </c>
      <c r="R12" s="25"/>
      <c r="S12" s="25" t="s">
        <v>437</v>
      </c>
      <c r="T12" s="25" t="s">
        <v>449</v>
      </c>
      <c r="U12" s="28" t="s">
        <v>473</v>
      </c>
    </row>
    <row r="13" spans="1:32" x14ac:dyDescent="0.4">
      <c r="A13" s="28" t="s">
        <v>515</v>
      </c>
      <c r="B13" s="26">
        <v>2</v>
      </c>
      <c r="C13" s="26" t="s">
        <v>427</v>
      </c>
      <c r="D13" s="26">
        <v>2014</v>
      </c>
      <c r="E13" s="30" t="s">
        <v>516</v>
      </c>
      <c r="F13" s="28" t="s">
        <v>517</v>
      </c>
      <c r="G13" s="26">
        <v>30</v>
      </c>
      <c r="H13" s="26" t="s">
        <v>484</v>
      </c>
      <c r="I13" s="26">
        <v>2009</v>
      </c>
      <c r="J13" s="30" t="s">
        <v>518</v>
      </c>
      <c r="K13" s="31" t="s">
        <v>464</v>
      </c>
      <c r="L13" s="28" t="s">
        <v>519</v>
      </c>
      <c r="M13" s="28" t="s">
        <v>434</v>
      </c>
      <c r="N13" s="28" t="s">
        <v>520</v>
      </c>
      <c r="O13" s="28" t="s">
        <v>436</v>
      </c>
      <c r="P13" s="28" t="s">
        <v>458</v>
      </c>
      <c r="Q13" s="28" t="s">
        <v>436</v>
      </c>
      <c r="R13" s="28"/>
      <c r="S13" s="28" t="s">
        <v>437</v>
      </c>
      <c r="T13" s="28" t="s">
        <v>449</v>
      </c>
      <c r="U13" s="28" t="s">
        <v>439</v>
      </c>
    </row>
    <row r="14" spans="1:32" x14ac:dyDescent="0.4">
      <c r="A14" s="28" t="s">
        <v>521</v>
      </c>
      <c r="B14" s="26">
        <v>3</v>
      </c>
      <c r="C14" s="26" t="s">
        <v>427</v>
      </c>
      <c r="D14" s="26">
        <v>2014</v>
      </c>
      <c r="E14" s="30" t="s">
        <v>522</v>
      </c>
      <c r="F14" s="28" t="s">
        <v>523</v>
      </c>
      <c r="G14" s="26">
        <v>11</v>
      </c>
      <c r="H14" s="26" t="s">
        <v>509</v>
      </c>
      <c r="I14" s="26">
        <v>2010</v>
      </c>
      <c r="J14" s="30" t="s">
        <v>524</v>
      </c>
      <c r="K14" s="31" t="s">
        <v>432</v>
      </c>
      <c r="L14" s="28" t="s">
        <v>525</v>
      </c>
      <c r="M14" s="28" t="s">
        <v>434</v>
      </c>
      <c r="N14" s="28" t="s">
        <v>526</v>
      </c>
      <c r="O14" s="28" t="s">
        <v>436</v>
      </c>
      <c r="P14" s="28" t="s">
        <v>436</v>
      </c>
      <c r="Q14" s="28" t="s">
        <v>436</v>
      </c>
      <c r="R14" s="28"/>
      <c r="S14" s="28" t="s">
        <v>448</v>
      </c>
      <c r="T14" s="28" t="s">
        <v>438</v>
      </c>
      <c r="U14" s="28" t="s">
        <v>439</v>
      </c>
    </row>
    <row r="15" spans="1:32" x14ac:dyDescent="0.4">
      <c r="A15" s="28" t="s">
        <v>527</v>
      </c>
      <c r="B15" s="26">
        <v>5</v>
      </c>
      <c r="C15" s="26" t="s">
        <v>427</v>
      </c>
      <c r="D15" s="26">
        <v>2014</v>
      </c>
      <c r="E15" s="30" t="s">
        <v>490</v>
      </c>
      <c r="F15" s="28" t="s">
        <v>528</v>
      </c>
      <c r="G15" s="26">
        <v>15</v>
      </c>
      <c r="H15" s="26" t="s">
        <v>512</v>
      </c>
      <c r="I15" s="26">
        <v>2009</v>
      </c>
      <c r="J15" s="30" t="s">
        <v>529</v>
      </c>
      <c r="K15" s="31" t="s">
        <v>464</v>
      </c>
      <c r="L15" s="28" t="s">
        <v>465</v>
      </c>
      <c r="M15" s="28" t="s">
        <v>434</v>
      </c>
      <c r="N15" s="28" t="s">
        <v>466</v>
      </c>
      <c r="O15" s="28" t="s">
        <v>458</v>
      </c>
      <c r="P15" s="28" t="s">
        <v>436</v>
      </c>
      <c r="Q15" s="28" t="s">
        <v>436</v>
      </c>
      <c r="R15" s="28"/>
      <c r="S15" s="28" t="s">
        <v>448</v>
      </c>
      <c r="T15" s="28" t="s">
        <v>438</v>
      </c>
      <c r="U15" s="28" t="s">
        <v>439</v>
      </c>
    </row>
    <row r="16" spans="1:32" x14ac:dyDescent="0.4">
      <c r="A16" s="28" t="s">
        <v>530</v>
      </c>
      <c r="B16" s="26">
        <v>5</v>
      </c>
      <c r="C16" s="26" t="s">
        <v>427</v>
      </c>
      <c r="D16" s="26">
        <v>2014</v>
      </c>
      <c r="E16" s="30" t="s">
        <v>490</v>
      </c>
      <c r="F16" s="28" t="s">
        <v>531</v>
      </c>
      <c r="G16" s="26">
        <v>10</v>
      </c>
      <c r="H16" s="26" t="s">
        <v>532</v>
      </c>
      <c r="I16" s="26">
        <v>2010</v>
      </c>
      <c r="J16" s="30" t="s">
        <v>533</v>
      </c>
      <c r="K16" s="31" t="s">
        <v>464</v>
      </c>
      <c r="L16" s="28" t="s">
        <v>534</v>
      </c>
      <c r="M16" s="28" t="s">
        <v>535</v>
      </c>
      <c r="N16" s="28" t="s">
        <v>536</v>
      </c>
      <c r="O16" s="28" t="s">
        <v>436</v>
      </c>
      <c r="P16" s="28" t="s">
        <v>458</v>
      </c>
      <c r="Q16" s="28" t="s">
        <v>436</v>
      </c>
      <c r="R16" s="28"/>
      <c r="S16" s="28" t="s">
        <v>437</v>
      </c>
      <c r="T16" s="28" t="s">
        <v>449</v>
      </c>
      <c r="U16" s="28" t="s">
        <v>439</v>
      </c>
    </row>
    <row r="17" spans="1:21" x14ac:dyDescent="0.4">
      <c r="A17" s="28" t="s">
        <v>537</v>
      </c>
      <c r="B17" s="26">
        <v>6</v>
      </c>
      <c r="C17" s="26" t="s">
        <v>427</v>
      </c>
      <c r="D17" s="26">
        <v>2014</v>
      </c>
      <c r="E17" s="30" t="s">
        <v>538</v>
      </c>
      <c r="F17" s="28" t="s">
        <v>539</v>
      </c>
      <c r="G17" s="26">
        <v>17</v>
      </c>
      <c r="H17" s="26" t="s">
        <v>512</v>
      </c>
      <c r="I17" s="26">
        <v>2009</v>
      </c>
      <c r="J17" s="30" t="s">
        <v>540</v>
      </c>
      <c r="K17" s="31" t="s">
        <v>432</v>
      </c>
      <c r="L17" s="28" t="s">
        <v>433</v>
      </c>
      <c r="M17" s="28" t="s">
        <v>434</v>
      </c>
      <c r="N17" s="28" t="s">
        <v>435</v>
      </c>
      <c r="O17" s="28" t="s">
        <v>436</v>
      </c>
      <c r="P17" s="28" t="s">
        <v>436</v>
      </c>
      <c r="Q17" s="28" t="s">
        <v>436</v>
      </c>
      <c r="R17" s="28"/>
      <c r="S17" s="28" t="s">
        <v>437</v>
      </c>
      <c r="T17" s="28" t="s">
        <v>438</v>
      </c>
      <c r="U17" s="28" t="s">
        <v>439</v>
      </c>
    </row>
    <row r="18" spans="1:21" x14ac:dyDescent="0.4">
      <c r="A18" s="28" t="s">
        <v>541</v>
      </c>
      <c r="B18" s="26">
        <v>7</v>
      </c>
      <c r="C18" s="26" t="s">
        <v>427</v>
      </c>
      <c r="D18" s="26">
        <v>2014</v>
      </c>
      <c r="E18" s="30" t="s">
        <v>542</v>
      </c>
      <c r="F18" s="28" t="s">
        <v>543</v>
      </c>
      <c r="G18" s="26">
        <v>10</v>
      </c>
      <c r="H18" s="26" t="s">
        <v>532</v>
      </c>
      <c r="I18" s="26">
        <v>2010</v>
      </c>
      <c r="J18" s="30" t="s">
        <v>533</v>
      </c>
      <c r="K18" s="31" t="s">
        <v>464</v>
      </c>
      <c r="L18" s="28" t="s">
        <v>544</v>
      </c>
      <c r="M18" s="28" t="s">
        <v>434</v>
      </c>
      <c r="N18" s="28" t="s">
        <v>457</v>
      </c>
      <c r="O18" s="28" t="s">
        <v>436</v>
      </c>
      <c r="P18" s="28" t="s">
        <v>436</v>
      </c>
      <c r="Q18" s="28" t="s">
        <v>436</v>
      </c>
      <c r="R18" s="28"/>
      <c r="S18" s="28" t="s">
        <v>437</v>
      </c>
      <c r="T18" s="28" t="s">
        <v>449</v>
      </c>
      <c r="U18" s="28" t="s">
        <v>439</v>
      </c>
    </row>
    <row r="19" spans="1:21" x14ac:dyDescent="0.4">
      <c r="A19" s="28" t="s">
        <v>545</v>
      </c>
      <c r="B19" s="26">
        <v>23</v>
      </c>
      <c r="C19" s="26" t="s">
        <v>509</v>
      </c>
      <c r="D19" s="26">
        <v>2014</v>
      </c>
      <c r="E19" s="30" t="s">
        <v>510</v>
      </c>
      <c r="F19" s="28" t="s">
        <v>546</v>
      </c>
      <c r="G19" s="26">
        <v>24</v>
      </c>
      <c r="H19" s="26" t="s">
        <v>454</v>
      </c>
      <c r="I19" s="26">
        <v>2010</v>
      </c>
      <c r="J19" s="30" t="s">
        <v>547</v>
      </c>
      <c r="K19" s="31" t="s">
        <v>493</v>
      </c>
      <c r="L19" s="28" t="s">
        <v>548</v>
      </c>
      <c r="M19" s="28" t="s">
        <v>434</v>
      </c>
      <c r="N19" s="28" t="s">
        <v>549</v>
      </c>
      <c r="O19" s="28" t="s">
        <v>436</v>
      </c>
      <c r="P19" s="28" t="s">
        <v>436</v>
      </c>
      <c r="Q19" s="28" t="s">
        <v>436</v>
      </c>
      <c r="R19" s="28"/>
      <c r="S19" s="28" t="s">
        <v>448</v>
      </c>
      <c r="T19" s="28" t="s">
        <v>438</v>
      </c>
      <c r="U19" s="28" t="s">
        <v>473</v>
      </c>
    </row>
    <row r="20" spans="1:21" x14ac:dyDescent="0.4">
      <c r="A20" s="28" t="s">
        <v>550</v>
      </c>
      <c r="B20" s="26">
        <v>8</v>
      </c>
      <c r="C20" s="26" t="s">
        <v>427</v>
      </c>
      <c r="D20" s="26">
        <v>2014</v>
      </c>
      <c r="E20" s="30" t="s">
        <v>551</v>
      </c>
      <c r="F20" s="28" t="s">
        <v>552</v>
      </c>
      <c r="G20" s="26">
        <v>25</v>
      </c>
      <c r="H20" s="26" t="s">
        <v>532</v>
      </c>
      <c r="I20" s="26">
        <v>2010</v>
      </c>
      <c r="J20" s="30" t="s">
        <v>553</v>
      </c>
      <c r="K20" s="31" t="s">
        <v>432</v>
      </c>
      <c r="L20" s="28" t="s">
        <v>554</v>
      </c>
      <c r="M20" s="28" t="s">
        <v>555</v>
      </c>
      <c r="N20" s="28" t="s">
        <v>447</v>
      </c>
      <c r="O20" s="28" t="s">
        <v>436</v>
      </c>
      <c r="P20" s="28" t="s">
        <v>436</v>
      </c>
      <c r="Q20" s="28" t="s">
        <v>436</v>
      </c>
      <c r="R20" s="28"/>
      <c r="S20" s="28" t="s">
        <v>437</v>
      </c>
      <c r="T20" s="28" t="s">
        <v>449</v>
      </c>
      <c r="U20" s="28" t="s">
        <v>439</v>
      </c>
    </row>
    <row r="21" spans="1:21" x14ac:dyDescent="0.4">
      <c r="A21" s="28" t="s">
        <v>556</v>
      </c>
      <c r="B21" s="26">
        <v>8</v>
      </c>
      <c r="C21" s="26" t="s">
        <v>427</v>
      </c>
      <c r="D21" s="26">
        <v>2014</v>
      </c>
      <c r="E21" s="30" t="s">
        <v>551</v>
      </c>
      <c r="F21" s="28" t="s">
        <v>557</v>
      </c>
      <c r="G21" s="26">
        <v>11</v>
      </c>
      <c r="H21" s="26" t="s">
        <v>532</v>
      </c>
      <c r="I21" s="26">
        <v>2010</v>
      </c>
      <c r="J21" s="30" t="s">
        <v>558</v>
      </c>
      <c r="K21" s="31" t="s">
        <v>464</v>
      </c>
      <c r="L21" s="28" t="s">
        <v>559</v>
      </c>
      <c r="M21" s="28" t="s">
        <v>535</v>
      </c>
      <c r="N21" s="28" t="s">
        <v>560</v>
      </c>
      <c r="O21" s="28" t="s">
        <v>436</v>
      </c>
      <c r="P21" s="28" t="s">
        <v>436</v>
      </c>
      <c r="Q21" s="28" t="s">
        <v>436</v>
      </c>
      <c r="R21" s="28"/>
      <c r="S21" s="28" t="s">
        <v>437</v>
      </c>
      <c r="T21" s="28" t="s">
        <v>449</v>
      </c>
      <c r="U21" s="28" t="s">
        <v>439</v>
      </c>
    </row>
    <row r="22" spans="1:21" x14ac:dyDescent="0.4">
      <c r="A22" s="28" t="s">
        <v>561</v>
      </c>
      <c r="B22" s="26">
        <v>6</v>
      </c>
      <c r="C22" s="26" t="s">
        <v>475</v>
      </c>
      <c r="D22" s="26">
        <v>2014</v>
      </c>
      <c r="E22" s="30" t="s">
        <v>562</v>
      </c>
      <c r="F22" s="28" t="s">
        <v>563</v>
      </c>
      <c r="G22" s="26">
        <v>30</v>
      </c>
      <c r="H22" s="26" t="s">
        <v>509</v>
      </c>
      <c r="I22" s="26">
        <v>2010</v>
      </c>
      <c r="J22" s="30" t="s">
        <v>564</v>
      </c>
      <c r="K22" s="31" t="s">
        <v>432</v>
      </c>
      <c r="L22" s="28" t="s">
        <v>565</v>
      </c>
      <c r="M22" s="28" t="s">
        <v>434</v>
      </c>
      <c r="N22" s="28" t="s">
        <v>566</v>
      </c>
      <c r="O22" s="28" t="s">
        <v>458</v>
      </c>
      <c r="P22" s="28" t="s">
        <v>436</v>
      </c>
      <c r="Q22" s="28" t="s">
        <v>436</v>
      </c>
      <c r="R22" s="28"/>
      <c r="S22" s="28" t="s">
        <v>437</v>
      </c>
      <c r="T22" s="28" t="s">
        <v>438</v>
      </c>
      <c r="U22" s="28" t="s">
        <v>473</v>
      </c>
    </row>
    <row r="23" spans="1:21" x14ac:dyDescent="0.4">
      <c r="A23" s="28" t="s">
        <v>567</v>
      </c>
      <c r="B23" s="26">
        <v>15</v>
      </c>
      <c r="C23" s="26" t="s">
        <v>475</v>
      </c>
      <c r="D23" s="26">
        <v>2014</v>
      </c>
      <c r="E23" s="30" t="s">
        <v>568</v>
      </c>
      <c r="F23" s="28" t="s">
        <v>569</v>
      </c>
      <c r="G23" s="26">
        <v>6</v>
      </c>
      <c r="H23" s="26" t="s">
        <v>441</v>
      </c>
      <c r="I23" s="26">
        <v>2009</v>
      </c>
      <c r="J23" s="30" t="s">
        <v>570</v>
      </c>
      <c r="K23" s="31" t="s">
        <v>486</v>
      </c>
      <c r="L23" s="28" t="s">
        <v>571</v>
      </c>
      <c r="M23" s="28" t="s">
        <v>572</v>
      </c>
      <c r="N23" s="28" t="s">
        <v>573</v>
      </c>
      <c r="O23" s="28" t="s">
        <v>458</v>
      </c>
      <c r="P23" s="28" t="s">
        <v>436</v>
      </c>
      <c r="Q23" s="28" t="s">
        <v>436</v>
      </c>
      <c r="R23" s="28"/>
      <c r="S23" s="28" t="s">
        <v>437</v>
      </c>
      <c r="T23" s="28" t="s">
        <v>449</v>
      </c>
      <c r="U23" s="28" t="s">
        <v>439</v>
      </c>
    </row>
    <row r="24" spans="1:21" ht="15" thickBot="1" x14ac:dyDescent="0.45">
      <c r="A24" s="28" t="s">
        <v>574</v>
      </c>
      <c r="B24" s="26">
        <v>15</v>
      </c>
      <c r="C24" s="26" t="s">
        <v>475</v>
      </c>
      <c r="D24" s="26">
        <v>2014</v>
      </c>
      <c r="E24" s="30" t="s">
        <v>568</v>
      </c>
      <c r="F24" s="28" t="s">
        <v>575</v>
      </c>
      <c r="G24" s="26">
        <v>10</v>
      </c>
      <c r="H24" s="26" t="s">
        <v>509</v>
      </c>
      <c r="I24" s="26">
        <v>2010</v>
      </c>
      <c r="J24" s="30" t="s">
        <v>576</v>
      </c>
      <c r="K24" s="31" t="s">
        <v>464</v>
      </c>
      <c r="L24" s="28" t="s">
        <v>577</v>
      </c>
      <c r="M24" s="28" t="s">
        <v>434</v>
      </c>
      <c r="N24" s="28" t="s">
        <v>578</v>
      </c>
      <c r="O24" s="28" t="s">
        <v>436</v>
      </c>
      <c r="P24" s="28" t="s">
        <v>436</v>
      </c>
      <c r="Q24" s="28" t="s">
        <v>436</v>
      </c>
      <c r="R24" s="28"/>
      <c r="S24" s="28" t="s">
        <v>448</v>
      </c>
      <c r="T24" s="28" t="s">
        <v>449</v>
      </c>
      <c r="U24" s="28" t="s">
        <v>439</v>
      </c>
    </row>
    <row r="25" spans="1:21" x14ac:dyDescent="0.4">
      <c r="A25" s="28" t="s">
        <v>579</v>
      </c>
      <c r="B25" s="26">
        <v>21</v>
      </c>
      <c r="C25" s="26" t="s">
        <v>509</v>
      </c>
      <c r="D25" s="26">
        <v>2012</v>
      </c>
      <c r="E25" s="27" t="s">
        <v>580</v>
      </c>
      <c r="F25" s="28" t="s">
        <v>502</v>
      </c>
      <c r="G25" s="26">
        <v>7</v>
      </c>
      <c r="H25" s="26" t="s">
        <v>441</v>
      </c>
      <c r="I25" s="26">
        <v>2009</v>
      </c>
      <c r="J25" s="27" t="s">
        <v>581</v>
      </c>
      <c r="K25" s="29" t="s">
        <v>432</v>
      </c>
      <c r="L25" s="25" t="s">
        <v>582</v>
      </c>
      <c r="M25" s="25" t="s">
        <v>572</v>
      </c>
      <c r="N25" s="25" t="s">
        <v>583</v>
      </c>
      <c r="O25" s="25" t="s">
        <v>436</v>
      </c>
      <c r="P25" s="25" t="s">
        <v>436</v>
      </c>
      <c r="Q25" s="25" t="s">
        <v>436</v>
      </c>
      <c r="R25" s="25"/>
      <c r="S25" s="25" t="s">
        <v>448</v>
      </c>
      <c r="T25" s="25" t="s">
        <v>449</v>
      </c>
      <c r="U25" s="25" t="s">
        <v>439</v>
      </c>
    </row>
    <row r="26" spans="1:21" x14ac:dyDescent="0.4">
      <c r="A26" s="28" t="s">
        <v>584</v>
      </c>
      <c r="B26" s="26">
        <v>26</v>
      </c>
      <c r="C26" s="26" t="s">
        <v>509</v>
      </c>
      <c r="D26" s="26">
        <v>2012</v>
      </c>
      <c r="E26" s="30" t="s">
        <v>585</v>
      </c>
      <c r="F26" s="28" t="s">
        <v>586</v>
      </c>
      <c r="G26" s="26">
        <v>11</v>
      </c>
      <c r="H26" s="26" t="s">
        <v>454</v>
      </c>
      <c r="I26" s="26">
        <v>2009</v>
      </c>
      <c r="J26" s="30" t="s">
        <v>587</v>
      </c>
      <c r="K26" s="31" t="s">
        <v>432</v>
      </c>
      <c r="L26" s="28" t="s">
        <v>588</v>
      </c>
      <c r="M26" s="28" t="s">
        <v>589</v>
      </c>
      <c r="N26" s="28" t="s">
        <v>590</v>
      </c>
      <c r="O26" s="28" t="s">
        <v>436</v>
      </c>
      <c r="P26" s="28" t="s">
        <v>436</v>
      </c>
      <c r="Q26" s="28" t="s">
        <v>436</v>
      </c>
      <c r="R26" s="28"/>
      <c r="S26" s="28" t="s">
        <v>448</v>
      </c>
      <c r="T26" s="28" t="s">
        <v>449</v>
      </c>
      <c r="U26" s="28" t="s">
        <v>439</v>
      </c>
    </row>
    <row r="27" spans="1:21" x14ac:dyDescent="0.4">
      <c r="A27" s="28" t="s">
        <v>591</v>
      </c>
      <c r="B27" s="26">
        <v>15</v>
      </c>
      <c r="C27" s="26" t="s">
        <v>427</v>
      </c>
      <c r="D27" s="26">
        <v>2012</v>
      </c>
      <c r="E27" s="30" t="s">
        <v>460</v>
      </c>
      <c r="F27" s="28" t="s">
        <v>592</v>
      </c>
      <c r="G27" s="26">
        <v>20</v>
      </c>
      <c r="H27" s="26" t="s">
        <v>444</v>
      </c>
      <c r="I27" s="26">
        <v>2008</v>
      </c>
      <c r="J27" s="30" t="s">
        <v>593</v>
      </c>
      <c r="K27" s="31" t="s">
        <v>594</v>
      </c>
      <c r="L27" s="28" t="s">
        <v>559</v>
      </c>
      <c r="M27" s="28" t="s">
        <v>535</v>
      </c>
      <c r="N27" s="28" t="s">
        <v>595</v>
      </c>
      <c r="O27" s="28" t="s">
        <v>436</v>
      </c>
      <c r="P27" s="28" t="s">
        <v>436</v>
      </c>
      <c r="Q27" s="28" t="s">
        <v>436</v>
      </c>
      <c r="R27" s="28"/>
      <c r="S27" s="28" t="s">
        <v>448</v>
      </c>
      <c r="T27" s="28" t="s">
        <v>449</v>
      </c>
      <c r="U27" s="28" t="s">
        <v>439</v>
      </c>
    </row>
    <row r="28" spans="1:21" x14ac:dyDescent="0.4">
      <c r="A28" s="28" t="s">
        <v>596</v>
      </c>
      <c r="B28" s="26">
        <v>15</v>
      </c>
      <c r="C28" s="26" t="s">
        <v>427</v>
      </c>
      <c r="D28" s="26">
        <v>2012</v>
      </c>
      <c r="E28" s="30" t="s">
        <v>460</v>
      </c>
      <c r="F28" s="28" t="s">
        <v>597</v>
      </c>
      <c r="G28" s="26">
        <v>4</v>
      </c>
      <c r="H28" s="26" t="s">
        <v>512</v>
      </c>
      <c r="I28" s="26">
        <v>2008</v>
      </c>
      <c r="J28" s="30" t="s">
        <v>598</v>
      </c>
      <c r="K28" s="31" t="s">
        <v>594</v>
      </c>
      <c r="L28" s="28" t="s">
        <v>599</v>
      </c>
      <c r="M28" s="28" t="s">
        <v>535</v>
      </c>
      <c r="N28" s="28" t="s">
        <v>536</v>
      </c>
      <c r="O28" s="28" t="s">
        <v>436</v>
      </c>
      <c r="P28" s="28" t="s">
        <v>458</v>
      </c>
      <c r="Q28" s="28" t="s">
        <v>436</v>
      </c>
      <c r="R28" s="28"/>
      <c r="S28" s="28" t="s">
        <v>437</v>
      </c>
      <c r="T28" s="28" t="s">
        <v>449</v>
      </c>
      <c r="U28" s="28" t="s">
        <v>439</v>
      </c>
    </row>
    <row r="29" spans="1:21" x14ac:dyDescent="0.4">
      <c r="A29" s="28" t="s">
        <v>600</v>
      </c>
      <c r="B29" s="26">
        <v>5</v>
      </c>
      <c r="C29" s="26" t="s">
        <v>430</v>
      </c>
      <c r="D29" s="26">
        <v>2012</v>
      </c>
      <c r="E29" s="30" t="s">
        <v>601</v>
      </c>
      <c r="F29" s="28" t="s">
        <v>602</v>
      </c>
      <c r="G29" s="26">
        <v>31</v>
      </c>
      <c r="H29" s="26" t="s">
        <v>475</v>
      </c>
      <c r="I29" s="26">
        <v>2008</v>
      </c>
      <c r="J29" s="30" t="s">
        <v>603</v>
      </c>
      <c r="K29" s="31" t="s">
        <v>594</v>
      </c>
      <c r="L29" s="28" t="s">
        <v>604</v>
      </c>
      <c r="M29" s="28" t="s">
        <v>605</v>
      </c>
      <c r="N29" s="28" t="s">
        <v>606</v>
      </c>
      <c r="O29" s="28" t="s">
        <v>436</v>
      </c>
      <c r="P29" s="28" t="s">
        <v>436</v>
      </c>
      <c r="Q29" s="28" t="s">
        <v>436</v>
      </c>
      <c r="R29" s="28"/>
      <c r="S29" s="28" t="s">
        <v>437</v>
      </c>
      <c r="T29" s="28" t="s">
        <v>438</v>
      </c>
      <c r="U29" s="28" t="s">
        <v>473</v>
      </c>
    </row>
    <row r="30" spans="1:21" x14ac:dyDescent="0.4">
      <c r="A30" s="28" t="s">
        <v>607</v>
      </c>
      <c r="B30" s="26">
        <v>27</v>
      </c>
      <c r="C30" s="26" t="s">
        <v>462</v>
      </c>
      <c r="D30" s="26">
        <v>2012</v>
      </c>
      <c r="E30" s="30" t="s">
        <v>608</v>
      </c>
      <c r="F30" s="28" t="s">
        <v>609</v>
      </c>
      <c r="G30" s="26">
        <v>4</v>
      </c>
      <c r="H30" s="26" t="s">
        <v>610</v>
      </c>
      <c r="I30" s="26">
        <v>2008</v>
      </c>
      <c r="J30" s="30" t="s">
        <v>611</v>
      </c>
      <c r="K30" s="31" t="s">
        <v>612</v>
      </c>
      <c r="L30" s="28" t="s">
        <v>613</v>
      </c>
      <c r="M30" s="28" t="s">
        <v>605</v>
      </c>
      <c r="N30" s="28" t="s">
        <v>614</v>
      </c>
      <c r="O30" s="28" t="s">
        <v>436</v>
      </c>
      <c r="P30" s="28" t="s">
        <v>436</v>
      </c>
      <c r="Q30" s="28" t="s">
        <v>436</v>
      </c>
      <c r="R30" s="28"/>
      <c r="S30" s="28" t="s">
        <v>448</v>
      </c>
      <c r="T30" s="28" t="s">
        <v>438</v>
      </c>
      <c r="U30" s="28" t="s">
        <v>473</v>
      </c>
    </row>
    <row r="31" spans="1:21" x14ac:dyDescent="0.4">
      <c r="A31" s="28" t="s">
        <v>615</v>
      </c>
      <c r="B31" s="26">
        <v>14</v>
      </c>
      <c r="C31" s="26" t="s">
        <v>484</v>
      </c>
      <c r="D31" s="26">
        <v>2012</v>
      </c>
      <c r="E31" s="30" t="s">
        <v>616</v>
      </c>
      <c r="F31" s="28" t="s">
        <v>617</v>
      </c>
      <c r="G31" s="26">
        <v>7</v>
      </c>
      <c r="H31" s="26" t="s">
        <v>610</v>
      </c>
      <c r="I31" s="26">
        <v>2008</v>
      </c>
      <c r="J31" s="30" t="s">
        <v>618</v>
      </c>
      <c r="K31" s="31" t="s">
        <v>594</v>
      </c>
      <c r="L31" s="28" t="s">
        <v>619</v>
      </c>
      <c r="M31" s="28" t="s">
        <v>572</v>
      </c>
      <c r="N31" s="28" t="s">
        <v>620</v>
      </c>
      <c r="O31" s="28" t="s">
        <v>436</v>
      </c>
      <c r="P31" s="28" t="s">
        <v>458</v>
      </c>
      <c r="Q31" s="28" t="s">
        <v>436</v>
      </c>
      <c r="R31" s="28"/>
      <c r="S31" s="28" t="s">
        <v>448</v>
      </c>
      <c r="T31" s="28" t="s">
        <v>438</v>
      </c>
      <c r="U31" s="28" t="s">
        <v>473</v>
      </c>
    </row>
    <row r="32" spans="1:21" x14ac:dyDescent="0.4">
      <c r="A32" s="28" t="s">
        <v>621</v>
      </c>
      <c r="B32" s="26">
        <v>8</v>
      </c>
      <c r="C32" s="26" t="s">
        <v>512</v>
      </c>
      <c r="D32" s="26">
        <v>2012</v>
      </c>
      <c r="E32" s="30" t="s">
        <v>622</v>
      </c>
      <c r="F32" s="28" t="s">
        <v>623</v>
      </c>
      <c r="G32" s="26">
        <v>1</v>
      </c>
      <c r="H32" s="26" t="s">
        <v>475</v>
      </c>
      <c r="I32" s="26">
        <v>2009</v>
      </c>
      <c r="J32" s="30" t="s">
        <v>624</v>
      </c>
      <c r="K32" s="31" t="s">
        <v>432</v>
      </c>
      <c r="L32" s="28" t="s">
        <v>625</v>
      </c>
      <c r="M32" s="28" t="s">
        <v>572</v>
      </c>
      <c r="N32" s="28" t="s">
        <v>447</v>
      </c>
      <c r="O32" s="28" t="s">
        <v>436</v>
      </c>
      <c r="P32" s="28" t="s">
        <v>436</v>
      </c>
      <c r="Q32" s="28" t="s">
        <v>436</v>
      </c>
      <c r="R32" s="28"/>
      <c r="S32" s="28" t="s">
        <v>448</v>
      </c>
      <c r="T32" s="28" t="s">
        <v>449</v>
      </c>
      <c r="U32" s="28" t="s">
        <v>450</v>
      </c>
    </row>
    <row r="33" spans="1:21" x14ac:dyDescent="0.4">
      <c r="A33" s="28" t="s">
        <v>626</v>
      </c>
      <c r="B33" s="26">
        <v>20</v>
      </c>
      <c r="C33" s="26" t="s">
        <v>427</v>
      </c>
      <c r="D33" s="26">
        <v>2013</v>
      </c>
      <c r="E33" s="30" t="s">
        <v>627</v>
      </c>
      <c r="F33" s="28" t="s">
        <v>628</v>
      </c>
      <c r="G33" s="26">
        <v>20</v>
      </c>
      <c r="H33" s="26" t="s">
        <v>512</v>
      </c>
      <c r="I33" s="26">
        <v>2008</v>
      </c>
      <c r="J33" s="30" t="s">
        <v>629</v>
      </c>
      <c r="K33" s="31" t="s">
        <v>432</v>
      </c>
      <c r="L33" s="28" t="s">
        <v>630</v>
      </c>
      <c r="M33" s="28" t="s">
        <v>434</v>
      </c>
      <c r="N33" s="28" t="s">
        <v>631</v>
      </c>
      <c r="O33" s="28" t="s">
        <v>436</v>
      </c>
      <c r="P33" s="28" t="s">
        <v>458</v>
      </c>
      <c r="Q33" s="28" t="s">
        <v>436</v>
      </c>
      <c r="R33" s="28"/>
      <c r="S33" s="28" t="s">
        <v>448</v>
      </c>
      <c r="T33" s="28" t="s">
        <v>438</v>
      </c>
      <c r="U33" s="28" t="s">
        <v>473</v>
      </c>
    </row>
    <row r="34" spans="1:21" x14ac:dyDescent="0.4">
      <c r="A34" s="28" t="s">
        <v>632</v>
      </c>
      <c r="B34" s="26">
        <v>1</v>
      </c>
      <c r="C34" s="26" t="s">
        <v>430</v>
      </c>
      <c r="D34" s="26">
        <v>2013</v>
      </c>
      <c r="E34" s="30" t="s">
        <v>633</v>
      </c>
      <c r="F34" s="28" t="s">
        <v>619</v>
      </c>
      <c r="G34" s="26">
        <v>5</v>
      </c>
      <c r="H34" s="26" t="s">
        <v>444</v>
      </c>
      <c r="I34" s="26">
        <v>2008</v>
      </c>
      <c r="J34" s="30" t="s">
        <v>634</v>
      </c>
      <c r="K34" s="31" t="s">
        <v>635</v>
      </c>
      <c r="L34" s="28" t="s">
        <v>636</v>
      </c>
      <c r="M34" s="28" t="s">
        <v>434</v>
      </c>
      <c r="N34" s="28" t="s">
        <v>637</v>
      </c>
      <c r="O34" s="28" t="s">
        <v>436</v>
      </c>
      <c r="P34" s="28" t="s">
        <v>436</v>
      </c>
      <c r="Q34" s="28" t="s">
        <v>436</v>
      </c>
      <c r="R34" s="28"/>
      <c r="S34" s="28" t="s">
        <v>437</v>
      </c>
      <c r="T34" s="28" t="s">
        <v>438</v>
      </c>
      <c r="U34" s="28" t="s">
        <v>439</v>
      </c>
    </row>
    <row r="35" spans="1:21" x14ac:dyDescent="0.4">
      <c r="A35" s="28" t="s">
        <v>638</v>
      </c>
      <c r="B35" s="26">
        <v>2</v>
      </c>
      <c r="C35" s="26" t="s">
        <v>475</v>
      </c>
      <c r="D35" s="26">
        <v>2013</v>
      </c>
      <c r="E35" s="30" t="s">
        <v>639</v>
      </c>
      <c r="F35" s="28" t="s">
        <v>640</v>
      </c>
      <c r="G35" s="26">
        <v>4</v>
      </c>
      <c r="H35" s="26" t="s">
        <v>454</v>
      </c>
      <c r="I35" s="26">
        <v>2009</v>
      </c>
      <c r="J35" s="30" t="s">
        <v>641</v>
      </c>
      <c r="K35" s="31" t="s">
        <v>432</v>
      </c>
      <c r="L35" s="28" t="s">
        <v>642</v>
      </c>
      <c r="M35" s="28" t="s">
        <v>436</v>
      </c>
      <c r="N35" s="28" t="s">
        <v>643</v>
      </c>
      <c r="O35" s="28" t="s">
        <v>458</v>
      </c>
      <c r="P35" s="28" t="s">
        <v>436</v>
      </c>
      <c r="Q35" s="28" t="s">
        <v>436</v>
      </c>
      <c r="R35" s="28"/>
      <c r="S35" s="28" t="s">
        <v>448</v>
      </c>
      <c r="T35" s="28" t="s">
        <v>449</v>
      </c>
      <c r="U35" s="28" t="s">
        <v>473</v>
      </c>
    </row>
    <row r="36" spans="1:21" x14ac:dyDescent="0.4">
      <c r="A36" s="28" t="s">
        <v>644</v>
      </c>
      <c r="B36" s="26">
        <v>7</v>
      </c>
      <c r="C36" s="26" t="s">
        <v>427</v>
      </c>
      <c r="D36" s="26">
        <v>2014</v>
      </c>
      <c r="E36" s="30" t="s">
        <v>542</v>
      </c>
      <c r="F36" s="28" t="s">
        <v>645</v>
      </c>
      <c r="G36" s="26">
        <v>24</v>
      </c>
      <c r="H36" s="26" t="s">
        <v>512</v>
      </c>
      <c r="I36" s="26">
        <v>2008</v>
      </c>
      <c r="J36" s="30" t="s">
        <v>646</v>
      </c>
      <c r="K36" s="31" t="s">
        <v>493</v>
      </c>
      <c r="L36" s="28" t="s">
        <v>647</v>
      </c>
      <c r="M36" s="28" t="s">
        <v>434</v>
      </c>
      <c r="N36" s="28" t="s">
        <v>648</v>
      </c>
      <c r="O36" s="28" t="s">
        <v>436</v>
      </c>
      <c r="P36" s="28" t="s">
        <v>436</v>
      </c>
      <c r="Q36" s="28" t="s">
        <v>436</v>
      </c>
      <c r="R36" s="28"/>
      <c r="S36" s="28" t="s">
        <v>448</v>
      </c>
      <c r="T36" s="28" t="s">
        <v>649</v>
      </c>
      <c r="U36" s="28" t="s">
        <v>473</v>
      </c>
    </row>
    <row r="37" spans="1:21" x14ac:dyDescent="0.4">
      <c r="A37" s="28" t="s">
        <v>650</v>
      </c>
      <c r="B37" s="26">
        <v>11</v>
      </c>
      <c r="C37" s="26" t="s">
        <v>427</v>
      </c>
      <c r="D37" s="26">
        <v>2014</v>
      </c>
      <c r="E37" s="30" t="s">
        <v>651</v>
      </c>
      <c r="F37" s="28" t="s">
        <v>652</v>
      </c>
      <c r="G37" s="26">
        <v>18</v>
      </c>
      <c r="H37" s="26" t="s">
        <v>462</v>
      </c>
      <c r="I37" s="26">
        <v>2008</v>
      </c>
      <c r="J37" s="30" t="s">
        <v>653</v>
      </c>
      <c r="K37" s="31" t="s">
        <v>493</v>
      </c>
      <c r="L37" s="28" t="s">
        <v>654</v>
      </c>
      <c r="M37" s="28" t="s">
        <v>434</v>
      </c>
      <c r="N37" s="28" t="s">
        <v>655</v>
      </c>
      <c r="O37" s="28" t="s">
        <v>458</v>
      </c>
      <c r="P37" s="28" t="s">
        <v>436</v>
      </c>
      <c r="Q37" s="28" t="s">
        <v>436</v>
      </c>
      <c r="R37" s="28"/>
      <c r="S37" s="28" t="s">
        <v>437</v>
      </c>
      <c r="T37" s="28" t="s">
        <v>449</v>
      </c>
      <c r="U37" s="28" t="s">
        <v>473</v>
      </c>
    </row>
    <row r="38" spans="1:21" x14ac:dyDescent="0.4">
      <c r="A38" s="28" t="s">
        <v>656</v>
      </c>
      <c r="B38" s="26">
        <v>11</v>
      </c>
      <c r="C38" s="26" t="s">
        <v>427</v>
      </c>
      <c r="D38" s="26">
        <v>2014</v>
      </c>
      <c r="E38" s="30" t="s">
        <v>651</v>
      </c>
      <c r="F38" s="28" t="s">
        <v>657</v>
      </c>
      <c r="G38" s="26">
        <v>13</v>
      </c>
      <c r="H38" s="26" t="s">
        <v>610</v>
      </c>
      <c r="I38" s="26">
        <v>2008</v>
      </c>
      <c r="J38" s="30" t="s">
        <v>658</v>
      </c>
      <c r="K38" s="31" t="s">
        <v>493</v>
      </c>
      <c r="L38" s="28" t="s">
        <v>548</v>
      </c>
      <c r="M38" s="28" t="s">
        <v>434</v>
      </c>
      <c r="N38" s="28" t="s">
        <v>549</v>
      </c>
      <c r="O38" s="28" t="s">
        <v>436</v>
      </c>
      <c r="P38" s="28" t="s">
        <v>436</v>
      </c>
      <c r="Q38" s="28" t="s">
        <v>436</v>
      </c>
      <c r="R38" s="28"/>
      <c r="S38" s="28" t="s">
        <v>437</v>
      </c>
      <c r="T38" s="28" t="s">
        <v>438</v>
      </c>
      <c r="U38" s="28" t="s">
        <v>473</v>
      </c>
    </row>
    <row r="39" spans="1:21" x14ac:dyDescent="0.4">
      <c r="A39" s="28" t="s">
        <v>659</v>
      </c>
      <c r="B39" s="26">
        <v>12</v>
      </c>
      <c r="C39" s="26" t="s">
        <v>427</v>
      </c>
      <c r="D39" s="26">
        <v>2014</v>
      </c>
      <c r="E39" s="30" t="s">
        <v>660</v>
      </c>
      <c r="F39" s="28" t="s">
        <v>661</v>
      </c>
      <c r="G39" s="26">
        <v>11</v>
      </c>
      <c r="H39" s="26" t="s">
        <v>512</v>
      </c>
      <c r="I39" s="26">
        <v>2009</v>
      </c>
      <c r="J39" s="30" t="s">
        <v>662</v>
      </c>
      <c r="K39" s="31" t="s">
        <v>493</v>
      </c>
      <c r="L39" s="28" t="s">
        <v>663</v>
      </c>
      <c r="M39" s="28" t="s">
        <v>434</v>
      </c>
      <c r="N39" s="28" t="s">
        <v>631</v>
      </c>
      <c r="O39" s="28" t="s">
        <v>436</v>
      </c>
      <c r="P39" s="28" t="s">
        <v>436</v>
      </c>
      <c r="Q39" s="28" t="s">
        <v>436</v>
      </c>
      <c r="R39" s="28"/>
      <c r="S39" s="28" t="s">
        <v>448</v>
      </c>
      <c r="T39" s="28" t="s">
        <v>449</v>
      </c>
      <c r="U39" s="28" t="s">
        <v>473</v>
      </c>
    </row>
    <row r="40" spans="1:21" x14ac:dyDescent="0.4">
      <c r="A40" s="28" t="s">
        <v>664</v>
      </c>
      <c r="B40" s="26">
        <v>28</v>
      </c>
      <c r="C40" s="26" t="s">
        <v>427</v>
      </c>
      <c r="D40" s="26">
        <v>2014</v>
      </c>
      <c r="E40" s="30" t="s">
        <v>497</v>
      </c>
      <c r="F40" s="28" t="s">
        <v>665</v>
      </c>
      <c r="G40" s="26">
        <v>17</v>
      </c>
      <c r="H40" s="26" t="s">
        <v>509</v>
      </c>
      <c r="I40" s="26">
        <v>2009</v>
      </c>
      <c r="J40" s="30" t="s">
        <v>666</v>
      </c>
      <c r="K40" s="31" t="s">
        <v>493</v>
      </c>
      <c r="L40" s="28" t="s">
        <v>667</v>
      </c>
      <c r="M40" s="28" t="s">
        <v>668</v>
      </c>
      <c r="N40" s="28" t="s">
        <v>669</v>
      </c>
      <c r="O40" s="28" t="s">
        <v>436</v>
      </c>
      <c r="P40" s="28" t="s">
        <v>458</v>
      </c>
      <c r="Q40" s="28" t="s">
        <v>436</v>
      </c>
      <c r="R40" s="28"/>
      <c r="S40" s="28" t="s">
        <v>437</v>
      </c>
      <c r="T40" s="28" t="s">
        <v>438</v>
      </c>
      <c r="U40" s="28" t="s">
        <v>473</v>
      </c>
    </row>
    <row r="41" spans="1:21" x14ac:dyDescent="0.4">
      <c r="A41" s="28" t="s">
        <v>670</v>
      </c>
      <c r="B41" s="26">
        <v>28</v>
      </c>
      <c r="C41" s="26" t="s">
        <v>427</v>
      </c>
      <c r="D41" s="26">
        <v>2014</v>
      </c>
      <c r="E41" s="30" t="s">
        <v>497</v>
      </c>
      <c r="F41" s="28" t="s">
        <v>671</v>
      </c>
      <c r="G41" s="26">
        <v>1</v>
      </c>
      <c r="H41" s="26" t="s">
        <v>610</v>
      </c>
      <c r="I41" s="26">
        <v>2008</v>
      </c>
      <c r="J41" s="30" t="s">
        <v>672</v>
      </c>
      <c r="K41" s="31" t="s">
        <v>493</v>
      </c>
      <c r="L41" s="28" t="s">
        <v>500</v>
      </c>
      <c r="M41" s="28" t="s">
        <v>673</v>
      </c>
      <c r="N41" s="28" t="s">
        <v>502</v>
      </c>
      <c r="O41" s="28" t="s">
        <v>436</v>
      </c>
      <c r="P41" s="28" t="s">
        <v>436</v>
      </c>
      <c r="Q41" s="28" t="s">
        <v>436</v>
      </c>
      <c r="R41" s="28"/>
      <c r="S41" s="28" t="s">
        <v>437</v>
      </c>
      <c r="T41" s="28" t="s">
        <v>438</v>
      </c>
      <c r="U41" s="28" t="s">
        <v>473</v>
      </c>
    </row>
    <row r="42" spans="1:21" x14ac:dyDescent="0.4">
      <c r="A42" s="28" t="s">
        <v>674</v>
      </c>
      <c r="B42" s="26">
        <v>10</v>
      </c>
      <c r="C42" s="26" t="s">
        <v>462</v>
      </c>
      <c r="D42" s="26">
        <v>2014</v>
      </c>
      <c r="E42" s="30" t="s">
        <v>675</v>
      </c>
      <c r="F42" s="28" t="s">
        <v>667</v>
      </c>
      <c r="G42" s="26">
        <v>10</v>
      </c>
      <c r="H42" s="26" t="s">
        <v>462</v>
      </c>
      <c r="I42" s="26">
        <v>2008</v>
      </c>
      <c r="J42" s="30" t="s">
        <v>676</v>
      </c>
      <c r="K42" s="31" t="s">
        <v>677</v>
      </c>
      <c r="L42" s="28" t="s">
        <v>678</v>
      </c>
      <c r="M42" s="28" t="s">
        <v>434</v>
      </c>
      <c r="N42" s="28" t="s">
        <v>679</v>
      </c>
      <c r="O42" s="28" t="s">
        <v>458</v>
      </c>
      <c r="P42" s="28" t="s">
        <v>436</v>
      </c>
      <c r="Q42" s="28" t="s">
        <v>436</v>
      </c>
      <c r="R42" s="28"/>
      <c r="S42" s="28" t="s">
        <v>437</v>
      </c>
      <c r="T42" s="28" t="s">
        <v>438</v>
      </c>
      <c r="U42" s="28" t="s">
        <v>450</v>
      </c>
    </row>
    <row r="43" spans="1:21" x14ac:dyDescent="0.4">
      <c r="A43" s="28" t="s">
        <v>680</v>
      </c>
      <c r="B43" s="26">
        <v>15</v>
      </c>
      <c r="C43" s="26" t="s">
        <v>475</v>
      </c>
      <c r="D43" s="26">
        <v>2014</v>
      </c>
      <c r="E43" s="30" t="s">
        <v>568</v>
      </c>
      <c r="F43" s="28" t="s">
        <v>681</v>
      </c>
      <c r="G43" s="26">
        <v>10</v>
      </c>
      <c r="H43" s="26" t="s">
        <v>444</v>
      </c>
      <c r="I43" s="26">
        <v>2008</v>
      </c>
      <c r="J43" s="30" t="s">
        <v>682</v>
      </c>
      <c r="K43" s="31" t="s">
        <v>683</v>
      </c>
      <c r="L43" s="28" t="s">
        <v>684</v>
      </c>
      <c r="M43" s="28" t="s">
        <v>434</v>
      </c>
      <c r="N43" s="28" t="s">
        <v>685</v>
      </c>
      <c r="O43" s="28" t="s">
        <v>458</v>
      </c>
      <c r="P43" s="28" t="s">
        <v>436</v>
      </c>
      <c r="Q43" s="28" t="s">
        <v>436</v>
      </c>
      <c r="R43" s="28"/>
      <c r="S43" s="28" t="s">
        <v>448</v>
      </c>
      <c r="T43" s="28" t="s">
        <v>449</v>
      </c>
      <c r="U43" s="28" t="s">
        <v>439</v>
      </c>
    </row>
    <row r="44" spans="1:21" x14ac:dyDescent="0.4">
      <c r="A44" s="28" t="s">
        <v>686</v>
      </c>
      <c r="B44" s="26">
        <v>15</v>
      </c>
      <c r="C44" s="26" t="s">
        <v>475</v>
      </c>
      <c r="D44" s="26">
        <v>2014</v>
      </c>
      <c r="E44" s="30" t="s">
        <v>568</v>
      </c>
      <c r="F44" s="28" t="s">
        <v>687</v>
      </c>
      <c r="G44" s="26">
        <v>10</v>
      </c>
      <c r="H44" s="26" t="s">
        <v>462</v>
      </c>
      <c r="I44" s="26">
        <v>2009</v>
      </c>
      <c r="J44" s="30" t="s">
        <v>688</v>
      </c>
      <c r="K44" s="31" t="s">
        <v>486</v>
      </c>
      <c r="L44" s="28" t="s">
        <v>684</v>
      </c>
      <c r="M44" s="28" t="s">
        <v>434</v>
      </c>
      <c r="N44" s="28" t="s">
        <v>685</v>
      </c>
      <c r="O44" s="28" t="s">
        <v>458</v>
      </c>
      <c r="P44" s="28" t="s">
        <v>436</v>
      </c>
      <c r="Q44" s="28" t="s">
        <v>436</v>
      </c>
      <c r="R44" s="28"/>
      <c r="S44" s="28" t="s">
        <v>437</v>
      </c>
      <c r="T44" s="28" t="s">
        <v>449</v>
      </c>
      <c r="U44" s="28" t="s">
        <v>473</v>
      </c>
    </row>
    <row r="45" spans="1:21" x14ac:dyDescent="0.4">
      <c r="A45" s="28" t="s">
        <v>689</v>
      </c>
      <c r="B45" s="26">
        <v>15</v>
      </c>
      <c r="C45" s="26" t="s">
        <v>475</v>
      </c>
      <c r="D45" s="26">
        <v>2014</v>
      </c>
      <c r="E45" s="30" t="s">
        <v>568</v>
      </c>
      <c r="F45" s="28" t="s">
        <v>690</v>
      </c>
      <c r="G45" s="26">
        <v>8</v>
      </c>
      <c r="H45" s="26" t="s">
        <v>475</v>
      </c>
      <c r="I45" s="26">
        <v>2008</v>
      </c>
      <c r="J45" s="30" t="s">
        <v>691</v>
      </c>
      <c r="K45" s="31" t="s">
        <v>486</v>
      </c>
      <c r="L45" s="28" t="s">
        <v>692</v>
      </c>
      <c r="M45" s="28" t="s">
        <v>572</v>
      </c>
      <c r="N45" s="28" t="s">
        <v>693</v>
      </c>
      <c r="O45" s="28" t="s">
        <v>458</v>
      </c>
      <c r="P45" s="28" t="s">
        <v>436</v>
      </c>
      <c r="Q45" s="28" t="s">
        <v>436</v>
      </c>
      <c r="R45" s="28"/>
      <c r="S45" s="28" t="s">
        <v>437</v>
      </c>
      <c r="T45" s="28" t="s">
        <v>449</v>
      </c>
      <c r="U45" s="28" t="s">
        <v>473</v>
      </c>
    </row>
    <row r="46" spans="1:21" x14ac:dyDescent="0.4">
      <c r="A46" s="28" t="s">
        <v>694</v>
      </c>
      <c r="B46" s="26">
        <v>24</v>
      </c>
      <c r="C46" s="26" t="s">
        <v>427</v>
      </c>
      <c r="D46" s="26">
        <v>2015</v>
      </c>
      <c r="E46" s="30" t="s">
        <v>695</v>
      </c>
      <c r="F46" s="28" t="s">
        <v>696</v>
      </c>
      <c r="G46" s="26">
        <v>26</v>
      </c>
      <c r="H46" s="26" t="s">
        <v>610</v>
      </c>
      <c r="I46" s="26">
        <v>2006</v>
      </c>
      <c r="J46" s="30" t="s">
        <v>697</v>
      </c>
      <c r="K46" s="31" t="s">
        <v>594</v>
      </c>
      <c r="L46" s="28" t="s">
        <v>698</v>
      </c>
      <c r="M46" s="28" t="s">
        <v>434</v>
      </c>
      <c r="N46" s="28" t="s">
        <v>699</v>
      </c>
      <c r="O46" s="28" t="s">
        <v>458</v>
      </c>
      <c r="P46" s="28" t="s">
        <v>436</v>
      </c>
      <c r="Q46" s="28" t="s">
        <v>436</v>
      </c>
      <c r="R46" s="28"/>
      <c r="S46" s="28" t="s">
        <v>448</v>
      </c>
      <c r="T46" s="28" t="s">
        <v>449</v>
      </c>
      <c r="U46" s="28" t="s">
        <v>473</v>
      </c>
    </row>
    <row r="47" spans="1:21" x14ac:dyDescent="0.4">
      <c r="A47" s="28" t="s">
        <v>700</v>
      </c>
      <c r="B47" s="26">
        <v>1</v>
      </c>
      <c r="C47" s="26" t="s">
        <v>430</v>
      </c>
      <c r="D47" s="26">
        <v>2015</v>
      </c>
      <c r="E47" s="30" t="s">
        <v>701</v>
      </c>
      <c r="F47" s="28" t="s">
        <v>702</v>
      </c>
      <c r="G47" s="26">
        <v>6</v>
      </c>
      <c r="H47" s="26" t="s">
        <v>454</v>
      </c>
      <c r="I47" s="26">
        <v>2009</v>
      </c>
      <c r="J47" s="30" t="s">
        <v>703</v>
      </c>
      <c r="K47" s="31" t="s">
        <v>594</v>
      </c>
      <c r="L47" s="28" t="s">
        <v>704</v>
      </c>
      <c r="M47" s="28" t="s">
        <v>434</v>
      </c>
      <c r="N47" s="28" t="s">
        <v>705</v>
      </c>
      <c r="O47" s="28" t="s">
        <v>458</v>
      </c>
      <c r="P47" s="28" t="s">
        <v>436</v>
      </c>
      <c r="Q47" s="28" t="s">
        <v>436</v>
      </c>
      <c r="R47" s="28"/>
      <c r="S47" s="28" t="s">
        <v>437</v>
      </c>
      <c r="T47" s="28" t="s">
        <v>449</v>
      </c>
      <c r="U47" s="28" t="s">
        <v>439</v>
      </c>
    </row>
  </sheetData>
  <mergeCells count="3">
    <mergeCell ref="X3:Y3"/>
    <mergeCell ref="Z3:AA3"/>
    <mergeCell ref="AC3:AF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8"/>
  <sheetViews>
    <sheetView workbookViewId="0">
      <selection activeCell="C23" sqref="C23"/>
    </sheetView>
  </sheetViews>
  <sheetFormatPr defaultRowHeight="14.6" x14ac:dyDescent="0.4"/>
  <cols>
    <col min="1" max="1" width="23.3046875" bestFit="1" customWidth="1"/>
    <col min="2" max="2" width="18.69140625" bestFit="1" customWidth="1"/>
  </cols>
  <sheetData>
    <row r="1" spans="1:3" ht="16.75" x14ac:dyDescent="0.45">
      <c r="A1" s="34" t="s">
        <v>710</v>
      </c>
      <c r="B1" s="34" t="s">
        <v>711</v>
      </c>
    </row>
    <row r="2" spans="1:3" x14ac:dyDescent="0.4">
      <c r="A2" s="4" t="s">
        <v>712</v>
      </c>
      <c r="B2" s="4" t="s">
        <v>713</v>
      </c>
      <c r="C2" t="str">
        <f>IF(A2="","",LEFT(A2,1)&amp;"-"&amp;COUNTIF($A$2:A2,LEFT(A2,1)&amp;"*"))</f>
        <v>A-1</v>
      </c>
    </row>
    <row r="3" spans="1:3" x14ac:dyDescent="0.4">
      <c r="A3" s="4" t="s">
        <v>714</v>
      </c>
      <c r="B3" s="4" t="s">
        <v>715</v>
      </c>
      <c r="C3" t="str">
        <f>IF(A3="","",LEFT(A3,1)&amp;"-"&amp;COUNTIF($A$2:A3,LEFT(A3,1)&amp;"*"))</f>
        <v>A-2</v>
      </c>
    </row>
    <row r="4" spans="1:3" x14ac:dyDescent="0.4">
      <c r="A4" s="4" t="s">
        <v>716</v>
      </c>
      <c r="B4" s="4" t="s">
        <v>717</v>
      </c>
      <c r="C4" t="str">
        <f>IF(A4="","",LEFT(A4,1)&amp;"-"&amp;COUNTIF($A$2:A4,LEFT(A4,1)&amp;"*"))</f>
        <v>A-3</v>
      </c>
    </row>
    <row r="5" spans="1:3" x14ac:dyDescent="0.4">
      <c r="A5" s="4" t="s">
        <v>718</v>
      </c>
      <c r="B5" s="4" t="s">
        <v>719</v>
      </c>
      <c r="C5" t="str">
        <f>IF(A5="","",LEFT(A5,1)&amp;"-"&amp;COUNTIF($A$2:A5,LEFT(A5,1)&amp;"*"))</f>
        <v>A-4</v>
      </c>
    </row>
    <row r="6" spans="1:3" x14ac:dyDescent="0.4">
      <c r="A6" s="4" t="s">
        <v>720</v>
      </c>
      <c r="B6" s="4" t="s">
        <v>721</v>
      </c>
      <c r="C6" t="str">
        <f>IF(A6="","",LEFT(A6,1)&amp;"-"&amp;COUNTIF($A$2:A6,LEFT(A6,1)&amp;"*"))</f>
        <v>A-5</v>
      </c>
    </row>
    <row r="7" spans="1:3" x14ac:dyDescent="0.4">
      <c r="A7" s="4" t="s">
        <v>554</v>
      </c>
      <c r="B7" s="4" t="s">
        <v>722</v>
      </c>
      <c r="C7" t="str">
        <f>IF(A7="","",LEFT(A7,1)&amp;"-"&amp;COUNTIF($A$2:A7,LEFT(A7,1)&amp;"*"))</f>
        <v>A-6</v>
      </c>
    </row>
    <row r="8" spans="1:3" x14ac:dyDescent="0.4">
      <c r="A8" s="4" t="s">
        <v>723</v>
      </c>
      <c r="B8" s="4" t="s">
        <v>724</v>
      </c>
      <c r="C8" t="str">
        <f>IF(A8="","",LEFT(A8,1)&amp;"-"&amp;COUNTIF($A$2:A8,LEFT(A8,1)&amp;"*"))</f>
        <v>A-7</v>
      </c>
    </row>
    <row r="9" spans="1:3" x14ac:dyDescent="0.4">
      <c r="A9" s="4" t="s">
        <v>725</v>
      </c>
      <c r="B9" s="4" t="s">
        <v>726</v>
      </c>
      <c r="C9" t="str">
        <f>IF(A9="","",LEFT(A9,1)&amp;"-"&amp;COUNTIF($A$2:A9,LEFT(A9,1)&amp;"*"))</f>
        <v>A-8</v>
      </c>
    </row>
    <row r="10" spans="1:3" x14ac:dyDescent="0.4">
      <c r="A10" s="4"/>
      <c r="B10" s="4"/>
      <c r="C10" t="str">
        <f>IF(A10="","",LEFT(A10,1)&amp;"-"&amp;COUNTIF($A$2:A10,LEFT(A10,1)&amp;"*"))</f>
        <v/>
      </c>
    </row>
    <row r="11" spans="1:3" x14ac:dyDescent="0.4">
      <c r="A11" s="4" t="s">
        <v>727</v>
      </c>
      <c r="B11" s="4" t="s">
        <v>728</v>
      </c>
      <c r="C11" t="str">
        <f>IF(A11="","",LEFT(A11,1)&amp;"-"&amp;COUNTIF($A$2:A11,LEFT(A11,1)&amp;"*"))</f>
        <v>B-1</v>
      </c>
    </row>
    <row r="12" spans="1:3" x14ac:dyDescent="0.4">
      <c r="A12" s="4" t="s">
        <v>729</v>
      </c>
      <c r="B12" s="4" t="s">
        <v>730</v>
      </c>
      <c r="C12" t="str">
        <f>IF(A12="","",LEFT(A12,1)&amp;"-"&amp;COUNTIF($A$2:A12,LEFT(A12,1)&amp;"*"))</f>
        <v>B-2</v>
      </c>
    </row>
    <row r="13" spans="1:3" x14ac:dyDescent="0.4">
      <c r="A13" s="4" t="s">
        <v>731</v>
      </c>
      <c r="B13" s="4" t="s">
        <v>732</v>
      </c>
      <c r="C13" t="str">
        <f>IF(A13="","",LEFT(A13,1)&amp;"-"&amp;COUNTIF($A$2:A13,LEFT(A13,1)&amp;"*"))</f>
        <v>B-3</v>
      </c>
    </row>
    <row r="14" spans="1:3" x14ac:dyDescent="0.4">
      <c r="A14" s="4" t="s">
        <v>733</v>
      </c>
      <c r="B14" s="4" t="s">
        <v>734</v>
      </c>
      <c r="C14" t="str">
        <f>IF(A14="","",LEFT(A14,1)&amp;"-"&amp;COUNTIF($A$2:A14,LEFT(A14,1)&amp;"*"))</f>
        <v>B-4</v>
      </c>
    </row>
    <row r="15" spans="1:3" x14ac:dyDescent="0.4">
      <c r="A15" s="4"/>
      <c r="B15" s="4"/>
      <c r="C15" t="str">
        <f>IF(A15="","",LEFT(A15,1)&amp;"-"&amp;COUNTIF($A$2:A15,LEFT(A15,1)&amp;"*"))</f>
        <v/>
      </c>
    </row>
    <row r="16" spans="1:3" x14ac:dyDescent="0.4">
      <c r="A16" s="4"/>
      <c r="B16" s="4"/>
      <c r="C16" t="str">
        <f>IF(A16="","",LEFT(A16,1)&amp;"-"&amp;COUNTIF($A$2:A16,LEFT(A16,1)&amp;"*"))</f>
        <v/>
      </c>
    </row>
    <row r="17" spans="1:3" x14ac:dyDescent="0.4">
      <c r="A17" s="4" t="s">
        <v>735</v>
      </c>
      <c r="B17" s="4" t="s">
        <v>736</v>
      </c>
      <c r="C17" t="str">
        <f>IF(A17="","",LEFT(A17,1)&amp;"-"&amp;COUNTIF($A$2:A17,LEFT(A17,1)&amp;"*"))</f>
        <v>C-1</v>
      </c>
    </row>
    <row r="18" spans="1:3" x14ac:dyDescent="0.4">
      <c r="A18" s="4" t="s">
        <v>737</v>
      </c>
      <c r="B18" s="4" t="s">
        <v>738</v>
      </c>
      <c r="C18" t="str">
        <f>IF(A18="","",LEFT(A18,1)&amp;"-"&amp;COUNTIF($A$2:A18,LEFT(A18,1)&amp;"*"))</f>
        <v>C-2</v>
      </c>
    </row>
    <row r="19" spans="1:3" x14ac:dyDescent="0.4">
      <c r="A19" s="4" t="s">
        <v>739</v>
      </c>
      <c r="B19" s="4" t="s">
        <v>740</v>
      </c>
      <c r="C19" t="str">
        <f>IF(A19="","",LEFT(A19,1)&amp;"-"&amp;COUNTIF($A$2:A19,LEFT(A19,1)&amp;"*"))</f>
        <v>C-3</v>
      </c>
    </row>
    <row r="20" spans="1:3" x14ac:dyDescent="0.4">
      <c r="A20" s="4" t="s">
        <v>741</v>
      </c>
      <c r="B20" s="4" t="s">
        <v>742</v>
      </c>
      <c r="C20" t="str">
        <f>IF(A20="","",LEFT(A20,1)&amp;"-"&amp;COUNTIF($A$2:A20,LEFT(A20,1)&amp;"*"))</f>
        <v>C-4</v>
      </c>
    </row>
    <row r="21" spans="1:3" x14ac:dyDescent="0.4">
      <c r="A21" s="4" t="s">
        <v>743</v>
      </c>
      <c r="B21" s="4" t="s">
        <v>744</v>
      </c>
      <c r="C21" t="str">
        <f>IF(A21="","",LEFT(A21,1)&amp;"-"&amp;COUNTIF($A$2:A21,LEFT(A21,1)&amp;"*"))</f>
        <v>C-5</v>
      </c>
    </row>
    <row r="22" spans="1:3" x14ac:dyDescent="0.4">
      <c r="A22" s="4"/>
      <c r="B22" s="4"/>
      <c r="C22" t="str">
        <f>IF(A22="","",LEFT(A22,1)&amp;"-"&amp;COUNTIF($A$2:A22,LEFT(A22,1)&amp;"*"))</f>
        <v/>
      </c>
    </row>
    <row r="23" spans="1:3" x14ac:dyDescent="0.4">
      <c r="A23" s="4"/>
      <c r="B23" s="4"/>
      <c r="C23" t="str">
        <f>IF(A23="","",LEFT(A23,1)&amp;"-"&amp;COUNTIF($A$2:A23,LEFT(A23,1)&amp;"*"))</f>
        <v/>
      </c>
    </row>
    <row r="24" spans="1:3" x14ac:dyDescent="0.4">
      <c r="A24" s="4" t="s">
        <v>745</v>
      </c>
      <c r="B24" s="4" t="s">
        <v>746</v>
      </c>
      <c r="C24" t="str">
        <f>IF(A24="","",LEFT(A24,1)&amp;"-"&amp;COUNTIF($A$2:A24,LEFT(A24,1)&amp;"*"))</f>
        <v>D-1</v>
      </c>
    </row>
    <row r="25" spans="1:3" x14ac:dyDescent="0.4">
      <c r="A25" s="4" t="s">
        <v>747</v>
      </c>
      <c r="B25" s="4" t="s">
        <v>748</v>
      </c>
      <c r="C25" t="str">
        <f>IF(A25="","",LEFT(A25,1)&amp;"-"&amp;COUNTIF($A$2:A25,LEFT(A25,1)&amp;"*"))</f>
        <v>D-2</v>
      </c>
    </row>
    <row r="26" spans="1:3" x14ac:dyDescent="0.4">
      <c r="A26" s="4" t="s">
        <v>749</v>
      </c>
      <c r="B26" s="4" t="s">
        <v>750</v>
      </c>
      <c r="C26" t="str">
        <f>IF(A26="","",LEFT(A26,1)&amp;"-"&amp;COUNTIF($A$2:A26,LEFT(A26,1)&amp;"*"))</f>
        <v>D-3</v>
      </c>
    </row>
    <row r="27" spans="1:3" x14ac:dyDescent="0.4">
      <c r="A27" s="4" t="s">
        <v>751</v>
      </c>
      <c r="B27" s="4" t="s">
        <v>752</v>
      </c>
      <c r="C27" t="str">
        <f>IF(A27="","",LEFT(A27,1)&amp;"-"&amp;COUNTIF($A$2:A27,LEFT(A27,1)&amp;"*"))</f>
        <v>D-4</v>
      </c>
    </row>
    <row r="28" spans="1:3" x14ac:dyDescent="0.4">
      <c r="A28" s="4" t="s">
        <v>753</v>
      </c>
      <c r="B28" s="4" t="s">
        <v>754</v>
      </c>
      <c r="C28" t="str">
        <f>IF(A28="","",LEFT(A28,1)&amp;"-"&amp;COUNTIF($A$2:A28,LEFT(A28,1)&amp;"*"))</f>
        <v>D-5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15"/>
  <sheetViews>
    <sheetView workbookViewId="0">
      <selection activeCell="F3" sqref="F3"/>
    </sheetView>
  </sheetViews>
  <sheetFormatPr defaultRowHeight="14.6" x14ac:dyDescent="0.4"/>
  <cols>
    <col min="2" max="2" width="16.3828125" bestFit="1" customWidth="1"/>
    <col min="6" max="6" width="21.69140625" customWidth="1"/>
  </cols>
  <sheetData>
    <row r="1" spans="1:10" ht="15" thickBot="1" x14ac:dyDescent="0.45">
      <c r="A1" s="35" t="s">
        <v>21</v>
      </c>
      <c r="B1" s="36" t="s">
        <v>755</v>
      </c>
      <c r="F1" s="65" t="s">
        <v>762</v>
      </c>
      <c r="G1" s="65"/>
      <c r="H1" s="65"/>
      <c r="I1" s="65"/>
      <c r="J1" s="65"/>
    </row>
    <row r="2" spans="1:10" x14ac:dyDescent="0.4">
      <c r="A2" s="4" t="s">
        <v>756</v>
      </c>
      <c r="B2" s="37">
        <v>41292</v>
      </c>
      <c r="F2" s="36" t="s">
        <v>763</v>
      </c>
    </row>
    <row r="3" spans="1:10" x14ac:dyDescent="0.4">
      <c r="A3" s="4" t="s">
        <v>757</v>
      </c>
      <c r="B3" s="37">
        <v>41939</v>
      </c>
      <c r="F3" s="3">
        <f>COUNTIF($B$2:$B$15,"&lt;"&amp;DATE(2014,12,31))</f>
        <v>9</v>
      </c>
    </row>
    <row r="4" spans="1:10" x14ac:dyDescent="0.4">
      <c r="A4" s="4" t="s">
        <v>667</v>
      </c>
      <c r="B4" s="37">
        <v>41966</v>
      </c>
    </row>
    <row r="5" spans="1:10" x14ac:dyDescent="0.4">
      <c r="A5" s="4" t="s">
        <v>758</v>
      </c>
      <c r="B5" s="37">
        <v>42991</v>
      </c>
    </row>
    <row r="6" spans="1:10" x14ac:dyDescent="0.4">
      <c r="A6" s="4" t="s">
        <v>759</v>
      </c>
      <c r="B6" s="37">
        <v>41434</v>
      </c>
    </row>
    <row r="7" spans="1:10" x14ac:dyDescent="0.4">
      <c r="A7" s="4" t="s">
        <v>760</v>
      </c>
      <c r="B7" s="37">
        <v>41674</v>
      </c>
    </row>
    <row r="8" spans="1:10" x14ac:dyDescent="0.4">
      <c r="A8" s="4" t="s">
        <v>761</v>
      </c>
      <c r="B8" s="37">
        <v>42629</v>
      </c>
    </row>
    <row r="9" spans="1:10" x14ac:dyDescent="0.4">
      <c r="A9" s="4" t="s">
        <v>756</v>
      </c>
      <c r="B9" s="37">
        <v>41203</v>
      </c>
    </row>
    <row r="10" spans="1:10" x14ac:dyDescent="0.4">
      <c r="A10" s="4" t="s">
        <v>757</v>
      </c>
      <c r="B10" s="37">
        <v>41490</v>
      </c>
    </row>
    <row r="11" spans="1:10" x14ac:dyDescent="0.4">
      <c r="A11" s="4" t="s">
        <v>667</v>
      </c>
      <c r="B11" s="37">
        <v>42463</v>
      </c>
    </row>
    <row r="12" spans="1:10" x14ac:dyDescent="0.4">
      <c r="A12" s="4" t="s">
        <v>758</v>
      </c>
      <c r="B12" s="2">
        <v>42234</v>
      </c>
    </row>
    <row r="13" spans="1:10" x14ac:dyDescent="0.4">
      <c r="A13" s="4" t="s">
        <v>759</v>
      </c>
      <c r="B13" s="37">
        <v>41963</v>
      </c>
    </row>
    <row r="14" spans="1:10" x14ac:dyDescent="0.4">
      <c r="A14" s="4" t="s">
        <v>760</v>
      </c>
      <c r="B14" s="37">
        <v>41228</v>
      </c>
    </row>
    <row r="15" spans="1:10" x14ac:dyDescent="0.4">
      <c r="A15" s="4" t="s">
        <v>761</v>
      </c>
      <c r="B15" s="37">
        <v>42125</v>
      </c>
    </row>
  </sheetData>
  <mergeCells count="1">
    <mergeCell ref="F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18"/>
  <sheetViews>
    <sheetView workbookViewId="0">
      <selection activeCell="C7" sqref="C7"/>
    </sheetView>
  </sheetViews>
  <sheetFormatPr defaultRowHeight="14.6" x14ac:dyDescent="0.4"/>
  <cols>
    <col min="3" max="3" width="12.3828125" customWidth="1"/>
    <col min="4" max="4" width="14.3046875" customWidth="1"/>
    <col min="5" max="5" width="12.69140625" customWidth="1"/>
  </cols>
  <sheetData>
    <row r="1" spans="1:13" x14ac:dyDescent="0.4">
      <c r="E1" s="66" t="s">
        <v>764</v>
      </c>
      <c r="F1" s="66"/>
      <c r="G1" s="66"/>
      <c r="H1" s="66"/>
      <c r="I1" s="66"/>
      <c r="J1" s="66"/>
      <c r="K1" s="66"/>
      <c r="L1" s="66"/>
      <c r="M1" s="66"/>
    </row>
    <row r="3" spans="1:13" ht="15" thickBot="1" x14ac:dyDescent="0.45"/>
    <row r="4" spans="1:13" ht="28.75" thickBot="1" x14ac:dyDescent="0.45">
      <c r="A4" s="38" t="s">
        <v>21</v>
      </c>
      <c r="B4" s="39" t="s">
        <v>765</v>
      </c>
      <c r="C4" s="39" t="s">
        <v>766</v>
      </c>
      <c r="D4" s="39" t="s">
        <v>767</v>
      </c>
      <c r="E4" s="50" t="s">
        <v>769</v>
      </c>
      <c r="I4" s="67" t="s">
        <v>766</v>
      </c>
      <c r="J4" s="68"/>
    </row>
    <row r="5" spans="1:13" x14ac:dyDescent="0.4">
      <c r="A5" s="40" t="s">
        <v>756</v>
      </c>
      <c r="B5" s="41">
        <v>1534709</v>
      </c>
      <c r="C5" s="41">
        <v>1</v>
      </c>
      <c r="D5" s="41">
        <v>1</v>
      </c>
      <c r="E5" s="4"/>
      <c r="I5" s="4">
        <v>1</v>
      </c>
      <c r="J5" s="45">
        <v>0.05</v>
      </c>
    </row>
    <row r="6" spans="1:13" x14ac:dyDescent="0.4">
      <c r="A6" s="42" t="s">
        <v>757</v>
      </c>
      <c r="B6" s="4">
        <v>1640781</v>
      </c>
      <c r="C6" s="4">
        <v>2</v>
      </c>
      <c r="D6" s="4">
        <v>1</v>
      </c>
      <c r="E6" s="4"/>
      <c r="I6" s="4">
        <v>2</v>
      </c>
      <c r="J6" s="45">
        <v>0.06</v>
      </c>
    </row>
    <row r="7" spans="1:13" x14ac:dyDescent="0.4">
      <c r="A7" s="42" t="s">
        <v>667</v>
      </c>
      <c r="B7" s="4">
        <v>842920</v>
      </c>
      <c r="C7" s="4">
        <v>1</v>
      </c>
      <c r="D7" s="4">
        <v>2</v>
      </c>
      <c r="E7" s="4"/>
      <c r="I7" s="4">
        <v>3</v>
      </c>
      <c r="J7" s="45">
        <v>7.0000000000000007E-2</v>
      </c>
    </row>
    <row r="8" spans="1:13" x14ac:dyDescent="0.4">
      <c r="A8" s="42" t="s">
        <v>758</v>
      </c>
      <c r="B8" s="4">
        <v>859518</v>
      </c>
      <c r="C8" s="4">
        <v>3</v>
      </c>
      <c r="D8" s="4">
        <v>3</v>
      </c>
      <c r="E8" s="4"/>
      <c r="I8" s="4">
        <v>4</v>
      </c>
      <c r="J8" s="45">
        <v>0.08</v>
      </c>
    </row>
    <row r="9" spans="1:13" ht="15" thickBot="1" x14ac:dyDescent="0.45">
      <c r="A9" s="42" t="s">
        <v>768</v>
      </c>
      <c r="B9" s="4">
        <v>1889069</v>
      </c>
      <c r="C9" s="4">
        <v>4</v>
      </c>
      <c r="D9" s="4">
        <v>1</v>
      </c>
      <c r="E9" s="4"/>
    </row>
    <row r="10" spans="1:13" ht="15" thickBot="1" x14ac:dyDescent="0.45">
      <c r="A10" s="42" t="s">
        <v>760</v>
      </c>
      <c r="B10" s="4">
        <v>1931569</v>
      </c>
      <c r="C10" s="4">
        <v>3</v>
      </c>
      <c r="D10" s="4">
        <v>4</v>
      </c>
      <c r="E10" s="4"/>
      <c r="I10" s="67" t="s">
        <v>767</v>
      </c>
      <c r="J10" s="68"/>
    </row>
    <row r="11" spans="1:13" x14ac:dyDescent="0.4">
      <c r="A11" s="42" t="s">
        <v>761</v>
      </c>
      <c r="B11" s="4">
        <v>1362843</v>
      </c>
      <c r="C11" s="4">
        <v>1</v>
      </c>
      <c r="D11" s="4">
        <v>4</v>
      </c>
      <c r="E11" s="4"/>
      <c r="I11" s="46">
        <v>1</v>
      </c>
      <c r="J11" s="47">
        <v>0.05</v>
      </c>
    </row>
    <row r="12" spans="1:13" x14ac:dyDescent="0.4">
      <c r="A12" s="42" t="s">
        <v>756</v>
      </c>
      <c r="B12" s="4">
        <v>1690004</v>
      </c>
      <c r="C12" s="4">
        <v>1</v>
      </c>
      <c r="D12" s="4">
        <v>2</v>
      </c>
      <c r="E12" s="4"/>
      <c r="I12" s="42">
        <v>2</v>
      </c>
      <c r="J12" s="48">
        <v>0.06</v>
      </c>
    </row>
    <row r="13" spans="1:13" x14ac:dyDescent="0.4">
      <c r="A13" s="42" t="s">
        <v>757</v>
      </c>
      <c r="B13" s="4">
        <v>1024537</v>
      </c>
      <c r="C13" s="4">
        <v>4</v>
      </c>
      <c r="D13" s="4">
        <v>3</v>
      </c>
      <c r="E13" s="4"/>
      <c r="I13" s="42">
        <v>3</v>
      </c>
      <c r="J13" s="48">
        <v>0.08</v>
      </c>
    </row>
    <row r="14" spans="1:13" ht="15" thickBot="1" x14ac:dyDescent="0.45">
      <c r="A14" s="42" t="s">
        <v>667</v>
      </c>
      <c r="B14" s="4">
        <v>1357981</v>
      </c>
      <c r="C14" s="4">
        <v>1</v>
      </c>
      <c r="D14" s="4">
        <v>3</v>
      </c>
      <c r="E14" s="4"/>
      <c r="I14" s="43">
        <v>4</v>
      </c>
      <c r="J14" s="49">
        <v>0.1</v>
      </c>
    </row>
    <row r="15" spans="1:13" x14ac:dyDescent="0.4">
      <c r="A15" s="42" t="s">
        <v>758</v>
      </c>
      <c r="B15" s="4">
        <v>545755</v>
      </c>
      <c r="C15" s="4">
        <v>1</v>
      </c>
      <c r="D15" s="4">
        <v>3</v>
      </c>
      <c r="E15" s="4"/>
    </row>
    <row r="16" spans="1:13" x14ac:dyDescent="0.4">
      <c r="A16" s="42" t="s">
        <v>768</v>
      </c>
      <c r="B16" s="4">
        <v>1121044</v>
      </c>
      <c r="C16" s="4">
        <v>1</v>
      </c>
      <c r="D16" s="4">
        <v>2</v>
      </c>
      <c r="E16" s="4"/>
    </row>
    <row r="17" spans="1:5" x14ac:dyDescent="0.4">
      <c r="A17" s="42" t="s">
        <v>760</v>
      </c>
      <c r="B17" s="4">
        <v>723140</v>
      </c>
      <c r="C17" s="4">
        <v>1</v>
      </c>
      <c r="D17" s="4">
        <v>4</v>
      </c>
      <c r="E17" s="4"/>
    </row>
    <row r="18" spans="1:5" ht="15" thickBot="1" x14ac:dyDescent="0.45">
      <c r="A18" s="43" t="s">
        <v>761</v>
      </c>
      <c r="B18" s="44">
        <v>1804564</v>
      </c>
      <c r="C18" s="44">
        <v>3</v>
      </c>
      <c r="D18" s="44">
        <v>3</v>
      </c>
      <c r="E18" s="4"/>
    </row>
  </sheetData>
  <mergeCells count="3">
    <mergeCell ref="E1:M1"/>
    <mergeCell ref="I4:J4"/>
    <mergeCell ref="I10:J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sumit bansal</cp:lastModifiedBy>
  <dcterms:created xsi:type="dcterms:W3CDTF">2016-05-10T06:32:33Z</dcterms:created>
  <dcterms:modified xsi:type="dcterms:W3CDTF">2025-08-07T16:46:58Z</dcterms:modified>
</cp:coreProperties>
</file>