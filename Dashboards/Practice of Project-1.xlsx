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sari Bhai\New Power BI Training with Ansari Bhai\Power-BI-Learning-with-MAATI-Institute\Day-20\Project-2\"/>
    </mc:Choice>
  </mc:AlternateContent>
  <xr:revisionPtr revIDLastSave="0" documentId="13_ncr:1_{F8D402E3-5738-495A-BF0E-7E3D19910A7B}" xr6:coauthVersionLast="47" xr6:coauthVersionMax="47" xr10:uidLastSave="{00000000-0000-0000-0000-000000000000}"/>
  <bookViews>
    <workbookView xWindow="-103" yWindow="-103" windowWidth="22149" windowHeight="13200" activeTab="1" xr2:uid="{6E850BE3-C6F8-4354-BB83-8603DF433D8C}"/>
  </bookViews>
  <sheets>
    <sheet name="RawData" sheetId="1" r:id="rId1"/>
    <sheet name="KPI Dashboard" sheetId="2" r:id="rId2"/>
  </sheets>
  <definedNames>
    <definedName name="Emplist">CHOOSE('KPI Dashboard'!$A$1,Finance,Operations,HR)</definedName>
    <definedName name="Finance">RawData!$A$3:$A$12</definedName>
    <definedName name="Finance_Data">RawData!$B$3:$AE$12</definedName>
    <definedName name="HR">RawData!$A$29:$A$38</definedName>
    <definedName name="HR_Data">RawData!$B$29:$AE$38</definedName>
    <definedName name="Operation_Data">RawData!$B$16:$AE$25</definedName>
    <definedName name="Operations">RawData!$A$16:$A$25</definedName>
    <definedName name="Year">RawData!$B$2:$AE$2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8" i="2" l="1"/>
  <c r="X7" i="2"/>
  <c r="C13" i="2"/>
  <c r="C17" i="2" s="1"/>
  <c r="C18" i="2" s="1" a="1"/>
  <c r="C18" i="2" s="1"/>
  <c r="D13" i="2"/>
  <c r="D17" i="2" s="1"/>
  <c r="D18" i="2" s="1" a="1"/>
  <c r="D18" i="2" s="1"/>
  <c r="E13" i="2"/>
  <c r="E17" i="2" s="1"/>
  <c r="E18" i="2" s="1" a="1"/>
  <c r="E18" i="2" s="1"/>
  <c r="F13" i="2"/>
  <c r="F17" i="2" s="1"/>
  <c r="F18" i="2" s="1" a="1"/>
  <c r="F18" i="2" s="1"/>
  <c r="G13" i="2"/>
  <c r="G17" i="2" s="1"/>
  <c r="G18" i="2" s="1" a="1"/>
  <c r="G18" i="2" s="1"/>
  <c r="H13" i="2"/>
  <c r="H17" i="2" s="1"/>
  <c r="H18" i="2" s="1" a="1"/>
  <c r="H18" i="2" s="1"/>
  <c r="I13" i="2"/>
  <c r="I17" i="2" s="1"/>
  <c r="I18" i="2" s="1" a="1"/>
  <c r="I18" i="2" s="1"/>
  <c r="B13" i="2"/>
  <c r="B17" i="2" s="1"/>
  <c r="A14" i="2"/>
  <c r="S1" i="2" s="1"/>
  <c r="B19" i="2" l="1" a="1"/>
  <c r="B19" i="2" s="1"/>
  <c r="Y7" i="2"/>
  <c r="A23" i="2" a="1"/>
  <c r="A23" i="2" s="1"/>
  <c r="F20" i="2" a="1"/>
  <c r="F20" i="2" s="1"/>
  <c r="E20" i="2" a="1"/>
  <c r="E20" i="2" s="1"/>
  <c r="H20" i="2" a="1"/>
  <c r="H20" i="2" s="1"/>
  <c r="D20" i="2" a="1"/>
  <c r="D20" i="2" s="1"/>
  <c r="I20" i="2" a="1"/>
  <c r="I20" i="2" s="1"/>
  <c r="G20" i="2" a="1"/>
  <c r="G20" i="2" s="1"/>
  <c r="C20" i="2" a="1"/>
  <c r="C20" i="2" s="1"/>
  <c r="H19" i="2" a="1"/>
  <c r="H19" i="2" s="1"/>
  <c r="B20" i="2" a="1"/>
  <c r="B20" i="2" s="1"/>
  <c r="F19" i="2" a="1"/>
  <c r="F19" i="2" s="1"/>
  <c r="D19" i="2" a="1"/>
  <c r="D19" i="2" s="1"/>
  <c r="G19" i="2" a="1"/>
  <c r="G19" i="2" s="1"/>
  <c r="C19" i="2" a="1"/>
  <c r="C19" i="2" s="1"/>
  <c r="I19" i="2" a="1"/>
  <c r="I19" i="2" s="1"/>
  <c r="E19" i="2" a="1"/>
  <c r="E19" i="2" s="1"/>
  <c r="B18" i="2" a="1"/>
  <c r="B18" i="2" s="1"/>
  <c r="B23" i="2" s="1" a="1"/>
  <c r="C14" i="2"/>
  <c r="C15" i="2" s="1"/>
  <c r="I14" i="2"/>
  <c r="I15" i="2" s="1"/>
  <c r="G14" i="2"/>
  <c r="G15" i="2" s="1"/>
  <c r="F14" i="2"/>
  <c r="F15" i="2" s="1"/>
  <c r="D14" i="2"/>
  <c r="D15" i="2" s="1"/>
  <c r="H14" i="2"/>
  <c r="H15" i="2" s="1"/>
  <c r="E14" i="2"/>
  <c r="E15" i="2" s="1"/>
  <c r="B14" i="2"/>
  <c r="B15" i="2" s="1"/>
  <c r="Y8" i="2" l="1"/>
  <c r="Z7" i="2"/>
  <c r="Z8" i="2" s="1"/>
  <c r="F23" i="2" a="1"/>
  <c r="D23" i="2" a="1"/>
  <c r="C24" i="2"/>
  <c r="C25" i="2"/>
  <c r="C26" i="2"/>
  <c r="C27" i="2"/>
  <c r="C28" i="2"/>
  <c r="C29" i="2"/>
  <c r="C30" i="2"/>
  <c r="B23" i="2"/>
  <c r="C23" i="2" s="1"/>
  <c r="AA7" i="2" l="1"/>
  <c r="AA8" i="2" s="1"/>
  <c r="F23" i="2"/>
  <c r="G23" i="2" s="1"/>
  <c r="G24" i="2"/>
  <c r="G25" i="2"/>
  <c r="G26" i="2"/>
  <c r="G27" i="2"/>
  <c r="G28" i="2"/>
  <c r="G29" i="2"/>
  <c r="G30" i="2"/>
  <c r="D23" i="2"/>
  <c r="E23" i="2" s="1"/>
  <c r="E24" i="2"/>
  <c r="E25" i="2"/>
  <c r="E30" i="2"/>
  <c r="E26" i="2"/>
  <c r="E27" i="2"/>
  <c r="E28" i="2"/>
  <c r="E29" i="2"/>
  <c r="AB7" i="2" l="1"/>
  <c r="AC7" i="2" l="1"/>
  <c r="AB8" i="2"/>
  <c r="AC8" i="2" l="1"/>
  <c r="AD7" i="2"/>
  <c r="AD8" i="2" l="1"/>
  <c r="AE7" i="2"/>
  <c r="AE8" i="2" l="1"/>
  <c r="AF7" i="2"/>
  <c r="AF8" i="2" s="1"/>
  <c r="N7" i="2" l="1"/>
  <c r="O7" i="2"/>
  <c r="L7" i="2"/>
  <c r="M7" i="2"/>
  <c r="K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<sst xmlns="http://schemas.openxmlformats.org/spreadsheetml/2006/main" count="57" uniqueCount="48">
  <si>
    <t>Finance</t>
  </si>
  <si>
    <t>EMPNAME</t>
  </si>
  <si>
    <t xml:space="preserve">JITENDRA SINGH           </t>
  </si>
  <si>
    <t xml:space="preserve">ABHIJIT DAS              </t>
  </si>
  <si>
    <t xml:space="preserve">ROSHAN KR. SINGH         </t>
  </si>
  <si>
    <t xml:space="preserve">GOVIND KR. MISHRA        </t>
  </si>
  <si>
    <t xml:space="preserve">NAIYER IQUBAL            </t>
  </si>
  <si>
    <t xml:space="preserve">SUSANTA SAHOO            </t>
  </si>
  <si>
    <t xml:space="preserve">DHARMENDRA KUMAR         </t>
  </si>
  <si>
    <t xml:space="preserve">SRIKANTA SAMAL           </t>
  </si>
  <si>
    <t xml:space="preserve">BHAGAT SINGH DHANKA      </t>
  </si>
  <si>
    <t xml:space="preserve">ALKA BAGGA               </t>
  </si>
  <si>
    <t>Operation</t>
  </si>
  <si>
    <t xml:space="preserve">PRAVEEN KUMAR            </t>
  </si>
  <si>
    <t xml:space="preserve">JULIA NINGTHOUJAN        </t>
  </si>
  <si>
    <t xml:space="preserve">CHANDRABHANU ROUT        </t>
  </si>
  <si>
    <t xml:space="preserve">RADHEY SHYAM YADAV       </t>
  </si>
  <si>
    <t xml:space="preserve">SONAM KAPOOR             </t>
  </si>
  <si>
    <t xml:space="preserve">VIJAY KUMAR              </t>
  </si>
  <si>
    <t xml:space="preserve">VIKRAM SINGH             </t>
  </si>
  <si>
    <t xml:space="preserve">GIRIRAJ DUTTA            </t>
  </si>
  <si>
    <t xml:space="preserve">NEERAJ KUMAR TOMER       </t>
  </si>
  <si>
    <t xml:space="preserve">SURENDER PRATAP VERMA    </t>
  </si>
  <si>
    <t>HR</t>
  </si>
  <si>
    <t xml:space="preserve">RITESH KUMAR             </t>
  </si>
  <si>
    <t xml:space="preserve">KALPESHWARI NEGI         </t>
  </si>
  <si>
    <t xml:space="preserve">MEENU .                  </t>
  </si>
  <si>
    <t xml:space="preserve">RENUKA RANDON            </t>
  </si>
  <si>
    <t xml:space="preserve">RAJESH KUMAR             </t>
  </si>
  <si>
    <t xml:space="preserve">BABITA KHATRI            </t>
  </si>
  <si>
    <t xml:space="preserve">SUNITA DHANIA            </t>
  </si>
  <si>
    <t xml:space="preserve">PRADUMNA KISHORE ROUT    </t>
  </si>
  <si>
    <t xml:space="preserve">MAMTA .                  </t>
  </si>
  <si>
    <t xml:space="preserve">RAJ KUMAR                </t>
  </si>
  <si>
    <t>Annual Combo Chart  | Sales vs Target</t>
  </si>
  <si>
    <t>Scroll bar</t>
  </si>
  <si>
    <t>Year</t>
  </si>
  <si>
    <t>Department wise Chart</t>
  </si>
  <si>
    <t>Department</t>
  </si>
  <si>
    <t>Target</t>
  </si>
  <si>
    <t>KPI By Department</t>
  </si>
  <si>
    <t>KPI By Year</t>
  </si>
  <si>
    <t>Total</t>
  </si>
  <si>
    <t>Count</t>
  </si>
  <si>
    <t>Max</t>
  </si>
  <si>
    <t>Min</t>
  </si>
  <si>
    <t>Avg</t>
  </si>
  <si>
    <t>Sparklines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</si>
</sst>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;;;"/>
  </numFmts>
  <fonts count="15" x14ac:knownFonts="1"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name val="Arial"/>
      <family val="2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4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00206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0" fontId="3" fillId="0" borderId="1" applyNumberFormat="0" applyFill="0" applyAlignment="0" applyProtection="0"/>
    <xf numFmtId="0" fontId="2" fillId="0" borderId="0"/>
  </cellStyleXfs>
  <cellXfs count="54">
    <xf numFmtId="0" fontId="0" fillId="0" borderId="0" xfId="0"/>
    <xf numFmtId="0" fontId="4" fillId="0" borderId="2" xfId="0" applyFont="1" applyBorder="1"/>
    <xf numFmtId="0" fontId="0" fillId="0" borderId="2" xfId="0" applyBorder="1"/>
    <xf numFmtId="0" fontId="4" fillId="0" borderId="0" xfId="0" applyFont="1"/>
    <xf numFmtId="0" fontId="2" fillId="0" borderId="0" xfId="2"/>
    <xf numFmtId="0" fontId="2" fillId="0" borderId="3" xfId="2" applyBorder="1"/>
    <xf numFmtId="0" fontId="2" fillId="0" borderId="4" xfId="2" applyBorder="1"/>
    <xf numFmtId="0" fontId="2" fillId="0" borderId="5" xfId="2" applyBorder="1"/>
    <xf numFmtId="0" fontId="2" fillId="0" borderId="9" xfId="2" applyBorder="1"/>
    <xf numFmtId="0" fontId="2" fillId="0" borderId="10" xfId="2" applyBorder="1"/>
    <xf numFmtId="0" fontId="2" fillId="0" borderId="6" xfId="2" applyBorder="1"/>
    <xf numFmtId="0" fontId="2" fillId="0" borderId="7" xfId="2" applyBorder="1"/>
    <xf numFmtId="0" fontId="2" fillId="0" borderId="8" xfId="2" applyBorder="1"/>
    <xf numFmtId="0" fontId="2" fillId="0" borderId="2" xfId="2" applyBorder="1"/>
    <xf numFmtId="0" fontId="2" fillId="2" borderId="4" xfId="2" applyFill="1" applyBorder="1"/>
    <xf numFmtId="0" fontId="2" fillId="2" borderId="5" xfId="2" applyFill="1" applyBorder="1"/>
    <xf numFmtId="0" fontId="2" fillId="2" borderId="0" xfId="2" applyFill="1"/>
    <xf numFmtId="0" fontId="2" fillId="2" borderId="10" xfId="2" applyFill="1" applyBorder="1"/>
    <xf numFmtId="0" fontId="2" fillId="2" borderId="6" xfId="2" applyFill="1" applyBorder="1"/>
    <xf numFmtId="0" fontId="2" fillId="2" borderId="7" xfId="2" applyFill="1" applyBorder="1"/>
    <xf numFmtId="0" fontId="2" fillId="2" borderId="8" xfId="2" applyFill="1" applyBorder="1"/>
    <xf numFmtId="0" fontId="2" fillId="0" borderId="2" xfId="2" applyBorder="1" applyAlignment="1">
      <alignment horizontal="center"/>
    </xf>
    <xf numFmtId="0" fontId="7" fillId="0" borderId="2" xfId="2" applyFont="1" applyBorder="1" applyAlignment="1">
      <alignment horizontal="center"/>
    </xf>
    <xf numFmtId="0" fontId="9" fillId="0" borderId="2" xfId="1" applyFont="1" applyFill="1" applyBorder="1" applyAlignment="1"/>
    <xf numFmtId="0" fontId="8" fillId="0" borderId="11" xfId="0" applyFont="1" applyBorder="1" applyAlignment="1">
      <alignment vertical="center"/>
    </xf>
    <xf numFmtId="164" fontId="2" fillId="0" borderId="2" xfId="2" applyNumberFormat="1" applyBorder="1"/>
    <xf numFmtId="0" fontId="6" fillId="0" borderId="9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11" fillId="3" borderId="12" xfId="2" applyFont="1" applyFill="1" applyBorder="1" applyAlignment="1">
      <alignment horizontal="center"/>
    </xf>
    <xf numFmtId="0" fontId="12" fillId="3" borderId="13" xfId="2" applyFont="1" applyFill="1" applyBorder="1" applyAlignment="1">
      <alignment horizontal="center"/>
    </xf>
    <xf numFmtId="0" fontId="1" fillId="0" borderId="0" xfId="2" applyFont="1"/>
    <xf numFmtId="0" fontId="5" fillId="0" borderId="0" xfId="2" applyFont="1" applyBorder="1" applyAlignment="1">
      <alignment vertical="center"/>
    </xf>
    <xf numFmtId="0" fontId="2" fillId="0" borderId="0" xfId="2" applyBorder="1"/>
    <xf numFmtId="0" fontId="5" fillId="2" borderId="3" xfId="2" applyFont="1" applyFill="1" applyBorder="1" applyAlignment="1">
      <alignment vertical="center"/>
    </xf>
    <xf numFmtId="0" fontId="5" fillId="2" borderId="9" xfId="2" applyFont="1" applyFill="1" applyBorder="1" applyAlignment="1">
      <alignment vertical="center"/>
    </xf>
    <xf numFmtId="0" fontId="2" fillId="2" borderId="0" xfId="2" applyFill="1" applyBorder="1"/>
    <xf numFmtId="0" fontId="6" fillId="0" borderId="0" xfId="2" applyFont="1" applyBorder="1" applyAlignment="1">
      <alignment horizontal="center" vertical="center"/>
    </xf>
    <xf numFmtId="0" fontId="7" fillId="0" borderId="15" xfId="2" applyFont="1" applyBorder="1" applyAlignment="1">
      <alignment horizontal="center"/>
    </xf>
    <xf numFmtId="0" fontId="2" fillId="0" borderId="15" xfId="2" applyBorder="1" applyAlignment="1">
      <alignment horizontal="center"/>
    </xf>
    <xf numFmtId="0" fontId="7" fillId="0" borderId="3" xfId="2" applyFont="1" applyBorder="1"/>
    <xf numFmtId="0" fontId="10" fillId="3" borderId="0" xfId="1" applyFont="1" applyFill="1" applyBorder="1" applyAlignment="1">
      <alignment horizontal="center"/>
    </xf>
    <xf numFmtId="0" fontId="7" fillId="0" borderId="2" xfId="2" applyFont="1" applyBorder="1"/>
    <xf numFmtId="0" fontId="7" fillId="0" borderId="2" xfId="1" applyFont="1" applyBorder="1"/>
    <xf numFmtId="0" fontId="2" fillId="0" borderId="16" xfId="2" applyBorder="1"/>
    <xf numFmtId="0" fontId="2" fillId="2" borderId="14" xfId="2" applyFill="1" applyBorder="1"/>
    <xf numFmtId="0" fontId="12" fillId="0" borderId="17" xfId="2" applyFont="1" applyFill="1" applyBorder="1" applyAlignment="1">
      <alignment horizontal="center"/>
    </xf>
    <xf numFmtId="0" fontId="12" fillId="0" borderId="17" xfId="2" applyFont="1" applyBorder="1" applyAlignment="1">
      <alignment horizontal="center"/>
    </xf>
    <xf numFmtId="0" fontId="2" fillId="0" borderId="0" xfId="2" applyAlignment="1">
      <alignment horizontal="center"/>
    </xf>
    <xf numFmtId="1" fontId="14" fillId="2" borderId="18" xfId="2" applyNumberFormat="1" applyFont="1" applyFill="1" applyBorder="1" applyAlignment="1">
      <alignment horizontal="center" vertical="center"/>
    </xf>
    <xf numFmtId="1" fontId="14" fillId="2" borderId="19" xfId="2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3">
    <cellStyle name="Linked Cell" xfId="1" builtinId="24"/>
    <cellStyle name="Normal" xfId="0" builtinId="0"/>
    <cellStyle name="Normal 2" xfId="2" xr:uid="{8DCA07DC-810D-4CAB-863B-0DD04E74057B}"/>
  </cellStyles>
  <dxfs count="0"/>
  <tableStyles count="1" defaultTableStyle="TableStyleMedium2" defaultPivotStyle="PivotStyleLight16">
    <tableStyle name="Invisible" pivot="0" table="0" count="0" xr9:uid="{107921A3-BD9F-4BE6-9A38-DE1A38E833D1}"/>
  </tableStyles>
  <colors>
    <mruColors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'KPI Dashboard'!$S$1</c:f>
          <c:strCache>
            <c:ptCount val="1"/>
            <c:pt idx="0">
              <c:v>KPI of Chandrabhanu Rout       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Dashboard'!$A$14</c:f>
              <c:strCache>
                <c:ptCount val="1"/>
                <c:pt idx="0">
                  <c:v>CHANDRABHANU ROUT       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'KPI Dashboard'!$B$13:$I$13</c:f>
              <c:numCache>
                <c:formatCode>General</c:formatCod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</c:numCache>
            </c:numRef>
          </c:cat>
          <c:val>
            <c:numRef>
              <c:f>'KPI Dashboard'!$B$14:$I$14</c:f>
              <c:numCache>
                <c:formatCode>General</c:formatCode>
                <c:ptCount val="8"/>
                <c:pt idx="0">
                  <c:v>21</c:v>
                </c:pt>
                <c:pt idx="1">
                  <c:v>11</c:v>
                </c:pt>
                <c:pt idx="2">
                  <c:v>4</c:v>
                </c:pt>
                <c:pt idx="3">
                  <c:v>1</c:v>
                </c:pt>
                <c:pt idx="4">
                  <c:v>22</c:v>
                </c:pt>
                <c:pt idx="5">
                  <c:v>2</c:v>
                </c:pt>
                <c:pt idx="6">
                  <c:v>16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4-457A-8B1D-63AB2B926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17832127"/>
        <c:axId val="717832607"/>
      </c:barChart>
      <c:lineChart>
        <c:grouping val="standard"/>
        <c:varyColors val="0"/>
        <c:ser>
          <c:idx val="1"/>
          <c:order val="1"/>
          <c:tx>
            <c:strRef>
              <c:f>'KPI Dashboard'!$A$15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'KPI Dashboard'!$B$13:$I$13</c:f>
              <c:numCache>
                <c:formatCode>General</c:formatCod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</c:numCache>
            </c:numRef>
          </c:cat>
          <c:val>
            <c:numRef>
              <c:f>'KPI Dashboard'!$B$15:$I$15</c:f>
              <c:numCache>
                <c:formatCode>General</c:formatCode>
                <c:ptCount val="8"/>
                <c:pt idx="0">
                  <c:v>27.3</c:v>
                </c:pt>
                <c:pt idx="1">
                  <c:v>14.3</c:v>
                </c:pt>
                <c:pt idx="2">
                  <c:v>5.2</c:v>
                </c:pt>
                <c:pt idx="3">
                  <c:v>1.3</c:v>
                </c:pt>
                <c:pt idx="4">
                  <c:v>28.6</c:v>
                </c:pt>
                <c:pt idx="5">
                  <c:v>2.6</c:v>
                </c:pt>
                <c:pt idx="6">
                  <c:v>20.8</c:v>
                </c:pt>
                <c:pt idx="7">
                  <c:v>27.3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A4-457A-8B1D-63AB2B926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7832127"/>
        <c:axId val="717832607"/>
      </c:lineChart>
      <c:catAx>
        <c:axId val="71783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32607"/>
        <c:crosses val="autoZero"/>
        <c:auto val="1"/>
        <c:lblAlgn val="ctr"/>
        <c:lblOffset val="100"/>
        <c:noMultiLvlLbl val="0"/>
      </c:catAx>
      <c:valAx>
        <c:axId val="71783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3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'KPI Dashboard'!$X$8</c:f>
              <c:strCache>
                <c:ptCount val="1"/>
                <c:pt idx="0">
                  <c:v>Operation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'KPI Dashboard'!$Y$7:$AF$7</c:f>
              <c:numCache>
                <c:formatCode>General</c:formatCod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</c:numCache>
            </c:numRef>
          </c:cat>
          <c:val>
            <c:numRef>
              <c:f>'KPI Dashboard'!$Y$8:$AF$8</c:f>
              <c:numCache>
                <c:formatCode>General</c:formatCode>
                <c:ptCount val="8"/>
                <c:pt idx="0">
                  <c:v>198</c:v>
                </c:pt>
                <c:pt idx="1">
                  <c:v>155</c:v>
                </c:pt>
                <c:pt idx="2">
                  <c:v>207</c:v>
                </c:pt>
                <c:pt idx="3">
                  <c:v>151</c:v>
                </c:pt>
                <c:pt idx="4">
                  <c:v>223</c:v>
                </c:pt>
                <c:pt idx="5">
                  <c:v>163</c:v>
                </c:pt>
                <c:pt idx="6">
                  <c:v>156</c:v>
                </c:pt>
                <c:pt idx="7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96-411B-B61A-7DAD2508406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KPI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'KPI Dashboard'!$A$18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'KPI Dashboard'!$B$17:$I$17</c:f>
              <c:numCache>
                <c:formatCode>General</c:formatCod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</c:numCache>
            </c:numRef>
          </c:cat>
          <c:val>
            <c:numRef>
              <c:f>'KPI Dashboard'!$B$18:$I$18</c:f>
              <c:numCache>
                <c:formatCode>General</c:formatCode>
                <c:ptCount val="8"/>
                <c:pt idx="0">
                  <c:v>405</c:v>
                </c:pt>
                <c:pt idx="1">
                  <c:v>551</c:v>
                </c:pt>
                <c:pt idx="2">
                  <c:v>692</c:v>
                </c:pt>
                <c:pt idx="3">
                  <c:v>511</c:v>
                </c:pt>
                <c:pt idx="4">
                  <c:v>503</c:v>
                </c:pt>
                <c:pt idx="5">
                  <c:v>447</c:v>
                </c:pt>
                <c:pt idx="6">
                  <c:v>385</c:v>
                </c:pt>
                <c:pt idx="7">
                  <c:v>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3-4C83-8819-B74F3011FAEC}"/>
            </c:ext>
          </c:extLst>
        </c:ser>
        <c:ser>
          <c:idx val="1"/>
          <c:order val="1"/>
          <c:tx>
            <c:strRef>
              <c:f>'KPI Dashboard'!$A$19</c:f>
              <c:strCache>
                <c:ptCount val="1"/>
                <c:pt idx="0">
                  <c:v>Operation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'KPI Dashboard'!$B$17:$I$17</c:f>
              <c:numCache>
                <c:formatCode>General</c:formatCod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</c:numCache>
            </c:numRef>
          </c:cat>
          <c:val>
            <c:numRef>
              <c:f>'KPI Dashboard'!$B$19:$I$19</c:f>
              <c:numCache>
                <c:formatCode>General</c:formatCode>
                <c:ptCount val="8"/>
                <c:pt idx="0">
                  <c:v>198</c:v>
                </c:pt>
                <c:pt idx="1">
                  <c:v>155</c:v>
                </c:pt>
                <c:pt idx="2">
                  <c:v>207</c:v>
                </c:pt>
                <c:pt idx="3">
                  <c:v>151</c:v>
                </c:pt>
                <c:pt idx="4">
                  <c:v>223</c:v>
                </c:pt>
                <c:pt idx="5">
                  <c:v>163</c:v>
                </c:pt>
                <c:pt idx="6">
                  <c:v>156</c:v>
                </c:pt>
                <c:pt idx="7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83-4C83-8819-B74F3011FAEC}"/>
            </c:ext>
          </c:extLst>
        </c:ser>
        <c:ser>
          <c:idx val="2"/>
          <c:order val="2"/>
          <c:tx>
            <c:strRef>
              <c:f>'KPI Dashboard'!$A$20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'KPI Dashboard'!$B$17:$I$17</c:f>
              <c:numCache>
                <c:formatCode>General</c:formatCod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</c:numCache>
            </c:numRef>
          </c:cat>
          <c:val>
            <c:numRef>
              <c:f>'KPI Dashboard'!$B$20:$I$20</c:f>
              <c:numCache>
                <c:formatCode>General</c:formatCode>
                <c:ptCount val="8"/>
                <c:pt idx="0">
                  <c:v>245</c:v>
                </c:pt>
                <c:pt idx="1">
                  <c:v>248</c:v>
                </c:pt>
                <c:pt idx="2">
                  <c:v>221</c:v>
                </c:pt>
                <c:pt idx="3">
                  <c:v>278</c:v>
                </c:pt>
                <c:pt idx="4">
                  <c:v>240</c:v>
                </c:pt>
                <c:pt idx="5">
                  <c:v>215</c:v>
                </c:pt>
                <c:pt idx="6">
                  <c:v>188</c:v>
                </c:pt>
                <c:pt idx="7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83-4C83-8819-B74F3011F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063695"/>
        <c:axId val="770052655"/>
      </c:areaChart>
      <c:catAx>
        <c:axId val="770063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052655"/>
        <c:crosses val="autoZero"/>
        <c:auto val="1"/>
        <c:lblAlgn val="ctr"/>
        <c:lblOffset val="100"/>
        <c:noMultiLvlLbl val="0"/>
      </c:catAx>
      <c:valAx>
        <c:axId val="77005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063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35" fmlaLink="$A$2" fmlaRange="Emplist" noThreeD="1" sel="3" val="2"/>
</file>

<file path=xl/ctrlProps/ctrlProp2.xml><?xml version="1.0" encoding="utf-8"?>
<formControlPr xmlns="http://schemas.microsoft.com/office/spreadsheetml/2009/9/main" objectType="Radio" firstButton="1" fmlaLink="$A$1" lockText="1" noThreeD="1"/>
</file>

<file path=xl/ctrlProps/ctrlProp3.xml><?xml version="1.0" encoding="utf-8"?>
<formControlPr xmlns="http://schemas.microsoft.com/office/spreadsheetml/2009/9/main" objectType="Radio" checked="Checked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Scroll" dx="35" fmlaLink="$A$4" horiz="1" max="30" page="10" val="2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</xdr:row>
          <xdr:rowOff>130629</xdr:rowOff>
        </xdr:from>
        <xdr:to>
          <xdr:col>11</xdr:col>
          <xdr:colOff>478971</xdr:colOff>
          <xdr:row>9</xdr:row>
          <xdr:rowOff>163286</xdr:rowOff>
        </xdr:to>
        <xdr:sp macro="" textlink="">
          <xdr:nvSpPr>
            <xdr:cNvPr id="1026" name="TextBox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136072</xdr:colOff>
          <xdr:row>3</xdr:row>
          <xdr:rowOff>27216</xdr:rowOff>
        </xdr:from>
        <xdr:to>
          <xdr:col>15</xdr:col>
          <xdr:colOff>0</xdr:colOff>
          <xdr:row>4</xdr:row>
          <xdr:rowOff>146959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87086</xdr:colOff>
          <xdr:row>0</xdr:row>
          <xdr:rowOff>136071</xdr:rowOff>
        </xdr:from>
        <xdr:to>
          <xdr:col>11</xdr:col>
          <xdr:colOff>293914</xdr:colOff>
          <xdr:row>2</xdr:row>
          <xdr:rowOff>10885</xdr:rowOff>
        </xdr:to>
        <xdr:sp macro="" textlink="">
          <xdr:nvSpPr>
            <xdr:cNvPr id="1034" name="Option 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 w="12700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Finance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386443</xdr:colOff>
          <xdr:row>0</xdr:row>
          <xdr:rowOff>136071</xdr:rowOff>
        </xdr:from>
        <xdr:to>
          <xdr:col>12</xdr:col>
          <xdr:colOff>593271</xdr:colOff>
          <xdr:row>2</xdr:row>
          <xdr:rowOff>10885</xdr:rowOff>
        </xdr:to>
        <xdr:sp macro="" textlink="">
          <xdr:nvSpPr>
            <xdr:cNvPr id="1035" name="Option 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 w="12700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Operation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702129</xdr:colOff>
          <xdr:row>0</xdr:row>
          <xdr:rowOff>130628</xdr:rowOff>
        </xdr:from>
        <xdr:to>
          <xdr:col>13</xdr:col>
          <xdr:colOff>908957</xdr:colOff>
          <xdr:row>2</xdr:row>
          <xdr:rowOff>5442</xdr:rowOff>
        </xdr:to>
        <xdr:sp macro="" textlink="">
          <xdr:nvSpPr>
            <xdr:cNvPr id="1036" name="Option 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 w="12700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16329</xdr:rowOff>
        </xdr:from>
        <xdr:to>
          <xdr:col>8</xdr:col>
          <xdr:colOff>898071</xdr:colOff>
          <xdr:row>11</xdr:row>
          <xdr:rowOff>157843</xdr:rowOff>
        </xdr:to>
        <xdr:sp macro="" textlink="">
          <xdr:nvSpPr>
            <xdr:cNvPr id="1039" name="Scroll Bar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43543</xdr:colOff>
      <xdr:row>2</xdr:row>
      <xdr:rowOff>43543</xdr:rowOff>
    </xdr:from>
    <xdr:to>
      <xdr:col>8</xdr:col>
      <xdr:colOff>919843</xdr:colOff>
      <xdr:row>9</xdr:row>
      <xdr:rowOff>255814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A5EA2E-CC66-70A5-F50B-F62073BD0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1725386</xdr:colOff>
      <xdr:row>0</xdr:row>
      <xdr:rowOff>0</xdr:rowOff>
    </xdr:from>
    <xdr:to>
      <xdr:col>6</xdr:col>
      <xdr:colOff>549728</xdr:colOff>
      <xdr:row>2</xdr:row>
      <xdr:rowOff>21772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195C29A-AE2D-AE39-7D44-09B39214E23E}"/>
            </a:ext>
          </a:extLst>
        </xdr:cNvPr>
        <xdr:cNvSpPr/>
      </xdr:nvSpPr>
      <xdr:spPr>
        <a:xfrm>
          <a:off x="1725386" y="0"/>
          <a:ext cx="5121728" cy="39732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/>
            <a:t>KPI Dashboard</a:t>
          </a:r>
        </a:p>
      </xdr:txBody>
    </xdr:sp>
    <xdr:clientData/>
  </xdr:twoCellAnchor>
  <xdr:oneCellAnchor>
    <xdr:from>
      <xdr:col>9</xdr:col>
      <xdr:colOff>0</xdr:colOff>
      <xdr:row>3</xdr:row>
      <xdr:rowOff>38101</xdr:rowOff>
    </xdr:from>
    <xdr:ext cx="1953986" cy="29935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333B71-96E7-DCB5-2758-83591049794B}"/>
            </a:ext>
          </a:extLst>
        </xdr:cNvPr>
        <xdr:cNvSpPr txBox="1"/>
      </xdr:nvSpPr>
      <xdr:spPr>
        <a:xfrm>
          <a:off x="8915400" y="604158"/>
          <a:ext cx="1953986" cy="29935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Select Employee</a:t>
          </a:r>
        </a:p>
      </xdr:txBody>
    </xdr:sp>
    <xdr:clientData/>
  </xdr:oneCellAnchor>
  <xdr:twoCellAnchor>
    <xdr:from>
      <xdr:col>10</xdr:col>
      <xdr:colOff>27215</xdr:colOff>
      <xdr:row>8</xdr:row>
      <xdr:rowOff>5442</xdr:rowOff>
    </xdr:from>
    <xdr:to>
      <xdr:col>14</xdr:col>
      <xdr:colOff>936170</xdr:colOff>
      <xdr:row>20</xdr:row>
      <xdr:rowOff>239484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D23FD6-7775-151B-E0E4-A7F35F6F6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16329</xdr:colOff>
      <xdr:row>21</xdr:row>
      <xdr:rowOff>23412</xdr:rowOff>
    </xdr:from>
    <xdr:to>
      <xdr:col>14</xdr:col>
      <xdr:colOff>925285</xdr:colOff>
      <xdr:row>30</xdr:row>
      <xdr:rowOff>168729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9B0E0F1-0BB4-ED91-CABC-BA41BDDCF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control" Target="../activeX/activeX1.xml"/><Relationship Id="rId7" Type="http://schemas.openxmlformats.org/officeDocument/2006/relationships/ctrlProp" Target="../ctrlProps/ctrlProp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image" Target="../media/image1.emf"/><Relationship Id="rId9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2A4D-40D7-4603-B85A-A983A1AAEF77}">
  <sheetPr codeName="Sheet2"/>
  <dimension ref="A1:AE38"/>
  <sheetViews>
    <sheetView workbookViewId="0">
      <selection activeCell="B6" sqref="B6"/>
    </sheetView>
  </sheetViews>
  <sheetFormatPr defaultRowHeight="20.6" x14ac:dyDescent="0.55000000000000004"/>
  <cols>
    <col min="1" max="1" width="17.9453125" bestFit="1" customWidth="1"/>
  </cols>
  <sheetData>
    <row r="1" spans="1:31" x14ac:dyDescent="0.55000000000000004">
      <c r="A1" t="s">
        <v>0</v>
      </c>
    </row>
    <row r="2" spans="1:31" x14ac:dyDescent="0.55000000000000004">
      <c r="A2" t="s">
        <v>1</v>
      </c>
      <c r="B2">
        <v>2001</v>
      </c>
      <c r="C2">
        <v>2002</v>
      </c>
      <c r="D2">
        <v>2003</v>
      </c>
      <c r="E2">
        <v>2004</v>
      </c>
      <c r="F2">
        <v>2005</v>
      </c>
      <c r="G2">
        <v>2006</v>
      </c>
      <c r="H2">
        <v>2007</v>
      </c>
      <c r="I2">
        <v>2008</v>
      </c>
      <c r="J2">
        <v>2009</v>
      </c>
      <c r="K2">
        <v>2010</v>
      </c>
      <c r="L2">
        <v>2011</v>
      </c>
      <c r="M2">
        <v>2012</v>
      </c>
      <c r="N2">
        <v>2013</v>
      </c>
      <c r="O2">
        <v>2014</v>
      </c>
      <c r="P2">
        <v>2015</v>
      </c>
      <c r="Q2">
        <v>2016</v>
      </c>
      <c r="R2">
        <v>2017</v>
      </c>
      <c r="S2">
        <v>2018</v>
      </c>
      <c r="T2">
        <v>2019</v>
      </c>
      <c r="U2">
        <v>2020</v>
      </c>
      <c r="V2">
        <v>2021</v>
      </c>
      <c r="W2">
        <v>2022</v>
      </c>
      <c r="X2">
        <v>2023</v>
      </c>
      <c r="Y2">
        <v>2024</v>
      </c>
      <c r="Z2">
        <v>2025</v>
      </c>
      <c r="AA2">
        <v>2026</v>
      </c>
      <c r="AB2">
        <v>2027</v>
      </c>
      <c r="AC2">
        <v>2028</v>
      </c>
      <c r="AD2">
        <v>2029</v>
      </c>
      <c r="AE2">
        <v>2030</v>
      </c>
    </row>
    <row r="3" spans="1:31" x14ac:dyDescent="0.55000000000000004">
      <c r="A3" s="1" t="s">
        <v>2</v>
      </c>
      <c r="B3" s="2">
        <v>84</v>
      </c>
      <c r="C3" s="2">
        <v>47</v>
      </c>
      <c r="D3" s="2">
        <v>94</v>
      </c>
      <c r="E3" s="2">
        <v>11</v>
      </c>
      <c r="F3" s="2">
        <v>51</v>
      </c>
      <c r="G3" s="2">
        <v>17</v>
      </c>
      <c r="H3" s="2">
        <v>23</v>
      </c>
      <c r="I3" s="2">
        <v>8</v>
      </c>
      <c r="J3" s="2">
        <v>86</v>
      </c>
      <c r="K3" s="2">
        <v>31</v>
      </c>
      <c r="L3" s="2">
        <v>42</v>
      </c>
      <c r="M3" s="2">
        <v>70</v>
      </c>
      <c r="N3" s="2">
        <v>86</v>
      </c>
      <c r="O3" s="2">
        <v>24</v>
      </c>
      <c r="P3" s="2">
        <v>49</v>
      </c>
      <c r="Q3" s="2">
        <v>12</v>
      </c>
      <c r="R3" s="2">
        <v>94</v>
      </c>
      <c r="S3" s="2">
        <v>4</v>
      </c>
      <c r="T3" s="2">
        <v>20</v>
      </c>
      <c r="U3" s="2">
        <v>11</v>
      </c>
      <c r="V3" s="2">
        <v>17</v>
      </c>
      <c r="W3" s="2">
        <v>65</v>
      </c>
      <c r="X3" s="2">
        <v>73</v>
      </c>
      <c r="Y3" s="2">
        <v>38</v>
      </c>
      <c r="Z3" s="2">
        <v>13</v>
      </c>
      <c r="AA3" s="2">
        <v>55</v>
      </c>
      <c r="AB3" s="2">
        <v>68</v>
      </c>
      <c r="AC3" s="2">
        <v>90</v>
      </c>
      <c r="AD3" s="2">
        <v>65</v>
      </c>
      <c r="AE3" s="2">
        <v>50</v>
      </c>
    </row>
    <row r="4" spans="1:31" x14ac:dyDescent="0.55000000000000004">
      <c r="A4" s="1" t="s">
        <v>3</v>
      </c>
      <c r="B4" s="2">
        <v>44</v>
      </c>
      <c r="C4" s="2">
        <v>84</v>
      </c>
      <c r="D4" s="2">
        <v>33</v>
      </c>
      <c r="E4" s="2">
        <v>35</v>
      </c>
      <c r="F4" s="2">
        <v>60</v>
      </c>
      <c r="G4" s="2">
        <v>86</v>
      </c>
      <c r="H4" s="2">
        <v>93</v>
      </c>
      <c r="I4" s="2">
        <v>35</v>
      </c>
      <c r="J4" s="2">
        <v>57</v>
      </c>
      <c r="K4" s="2">
        <v>28</v>
      </c>
      <c r="L4" s="2">
        <v>39</v>
      </c>
      <c r="M4" s="2">
        <v>77</v>
      </c>
      <c r="N4" s="2">
        <v>100</v>
      </c>
      <c r="O4" s="2">
        <v>29</v>
      </c>
      <c r="P4" s="2">
        <v>27</v>
      </c>
      <c r="Q4" s="2">
        <v>45</v>
      </c>
      <c r="R4" s="2">
        <v>6</v>
      </c>
      <c r="S4" s="2">
        <v>13</v>
      </c>
      <c r="T4" s="2">
        <v>8</v>
      </c>
      <c r="U4" s="2">
        <v>87</v>
      </c>
      <c r="V4" s="2">
        <v>78</v>
      </c>
      <c r="W4" s="2">
        <v>99</v>
      </c>
      <c r="X4" s="2">
        <v>87</v>
      </c>
      <c r="Y4" s="2">
        <v>7</v>
      </c>
      <c r="Z4" s="2">
        <v>58</v>
      </c>
      <c r="AA4" s="2">
        <v>72</v>
      </c>
      <c r="AB4" s="2">
        <v>83</v>
      </c>
      <c r="AC4" s="2">
        <v>29</v>
      </c>
      <c r="AD4" s="2">
        <v>64</v>
      </c>
      <c r="AE4" s="2">
        <v>60</v>
      </c>
    </row>
    <row r="5" spans="1:31" x14ac:dyDescent="0.55000000000000004">
      <c r="A5" s="1" t="s">
        <v>4</v>
      </c>
      <c r="B5" s="2">
        <v>84</v>
      </c>
      <c r="C5" s="2">
        <v>20</v>
      </c>
      <c r="D5" s="2">
        <v>80</v>
      </c>
      <c r="E5" s="2">
        <v>27</v>
      </c>
      <c r="F5" s="2">
        <v>51</v>
      </c>
      <c r="G5" s="2">
        <v>29</v>
      </c>
      <c r="H5" s="2">
        <v>43</v>
      </c>
      <c r="I5" s="2">
        <v>1</v>
      </c>
      <c r="J5" s="2">
        <v>68</v>
      </c>
      <c r="K5" s="2">
        <v>95</v>
      </c>
      <c r="L5" s="2">
        <v>89</v>
      </c>
      <c r="M5" s="2">
        <v>82</v>
      </c>
      <c r="N5" s="2">
        <v>16</v>
      </c>
      <c r="O5" s="2">
        <v>5</v>
      </c>
      <c r="P5" s="2">
        <v>94</v>
      </c>
      <c r="Q5" s="2">
        <v>45</v>
      </c>
      <c r="R5" s="2">
        <v>29</v>
      </c>
      <c r="S5" s="2">
        <v>9</v>
      </c>
      <c r="T5" s="2">
        <v>19</v>
      </c>
      <c r="U5" s="2">
        <v>43</v>
      </c>
      <c r="V5" s="2">
        <v>38</v>
      </c>
      <c r="W5" s="2">
        <v>30</v>
      </c>
      <c r="X5" s="2">
        <v>64</v>
      </c>
      <c r="Y5" s="2">
        <v>60</v>
      </c>
      <c r="Z5" s="2">
        <v>66</v>
      </c>
      <c r="AA5" s="2">
        <v>62</v>
      </c>
      <c r="AB5" s="2">
        <v>65</v>
      </c>
      <c r="AC5" s="2">
        <v>40</v>
      </c>
      <c r="AD5" s="2">
        <v>62</v>
      </c>
      <c r="AE5" s="2">
        <v>50</v>
      </c>
    </row>
    <row r="6" spans="1:31" x14ac:dyDescent="0.55000000000000004">
      <c r="A6" s="1" t="s">
        <v>5</v>
      </c>
      <c r="B6" s="2">
        <v>12</v>
      </c>
      <c r="C6" s="2">
        <v>31</v>
      </c>
      <c r="D6" s="2">
        <v>78</v>
      </c>
      <c r="E6" s="2">
        <v>4</v>
      </c>
      <c r="F6" s="2">
        <v>34</v>
      </c>
      <c r="G6" s="2">
        <v>40</v>
      </c>
      <c r="H6" s="2">
        <v>7</v>
      </c>
      <c r="I6" s="2">
        <v>35</v>
      </c>
      <c r="J6" s="2">
        <v>22</v>
      </c>
      <c r="K6" s="2">
        <v>12</v>
      </c>
      <c r="L6" s="2">
        <v>97</v>
      </c>
      <c r="M6" s="2">
        <v>54</v>
      </c>
      <c r="N6" s="2">
        <v>30</v>
      </c>
      <c r="O6" s="2">
        <v>68</v>
      </c>
      <c r="P6" s="2">
        <v>41</v>
      </c>
      <c r="Q6" s="2">
        <v>54</v>
      </c>
      <c r="R6" s="2">
        <v>10</v>
      </c>
      <c r="S6" s="2">
        <v>57</v>
      </c>
      <c r="T6" s="2">
        <v>44</v>
      </c>
      <c r="U6" s="2">
        <v>72</v>
      </c>
      <c r="V6" s="2">
        <v>49</v>
      </c>
      <c r="W6" s="2">
        <v>14</v>
      </c>
      <c r="X6" s="2">
        <v>27</v>
      </c>
      <c r="Y6" s="2">
        <v>30</v>
      </c>
      <c r="Z6" s="2">
        <v>71</v>
      </c>
      <c r="AA6" s="2">
        <v>1</v>
      </c>
      <c r="AB6" s="2">
        <v>3</v>
      </c>
      <c r="AC6" s="2">
        <v>75</v>
      </c>
      <c r="AD6" s="2">
        <v>54</v>
      </c>
      <c r="AE6" s="2">
        <v>100</v>
      </c>
    </row>
    <row r="7" spans="1:31" x14ac:dyDescent="0.55000000000000004">
      <c r="A7" s="1" t="s">
        <v>6</v>
      </c>
      <c r="B7" s="2">
        <v>61</v>
      </c>
      <c r="C7" s="2">
        <v>100</v>
      </c>
      <c r="D7" s="2">
        <v>7</v>
      </c>
      <c r="E7" s="2">
        <v>82</v>
      </c>
      <c r="F7" s="2">
        <v>48</v>
      </c>
      <c r="G7" s="2">
        <v>22</v>
      </c>
      <c r="H7" s="2">
        <v>2</v>
      </c>
      <c r="I7" s="2">
        <v>10</v>
      </c>
      <c r="J7" s="2">
        <v>8</v>
      </c>
      <c r="K7" s="2">
        <v>55</v>
      </c>
      <c r="L7" s="2">
        <v>75</v>
      </c>
      <c r="M7" s="2">
        <v>13</v>
      </c>
      <c r="N7" s="2">
        <v>68</v>
      </c>
      <c r="O7" s="2">
        <v>77</v>
      </c>
      <c r="P7" s="2">
        <v>38</v>
      </c>
      <c r="Q7" s="2">
        <v>11</v>
      </c>
      <c r="R7" s="2">
        <v>35</v>
      </c>
      <c r="S7" s="2">
        <v>33</v>
      </c>
      <c r="T7" s="2">
        <v>17</v>
      </c>
      <c r="U7" s="2">
        <v>84</v>
      </c>
      <c r="V7" s="2">
        <v>51</v>
      </c>
      <c r="W7" s="2">
        <v>40</v>
      </c>
      <c r="X7" s="2">
        <v>94</v>
      </c>
      <c r="Y7" s="2">
        <v>14</v>
      </c>
      <c r="Z7" s="2">
        <v>65</v>
      </c>
      <c r="AA7" s="2">
        <v>81</v>
      </c>
      <c r="AB7" s="2">
        <v>11</v>
      </c>
      <c r="AC7" s="2">
        <v>73</v>
      </c>
      <c r="AD7" s="2">
        <v>51</v>
      </c>
      <c r="AE7" s="2">
        <v>85</v>
      </c>
    </row>
    <row r="8" spans="1:31" x14ac:dyDescent="0.55000000000000004">
      <c r="A8" s="1" t="s">
        <v>7</v>
      </c>
      <c r="B8" s="2">
        <v>32</v>
      </c>
      <c r="C8" s="2">
        <v>63</v>
      </c>
      <c r="D8" s="2">
        <v>79</v>
      </c>
      <c r="E8" s="2">
        <v>22</v>
      </c>
      <c r="F8" s="2">
        <v>75</v>
      </c>
      <c r="G8" s="2">
        <v>91</v>
      </c>
      <c r="H8" s="2">
        <v>78</v>
      </c>
      <c r="I8" s="2">
        <v>36</v>
      </c>
      <c r="J8" s="2">
        <v>11</v>
      </c>
      <c r="K8" s="2">
        <v>96</v>
      </c>
      <c r="L8" s="2">
        <v>14</v>
      </c>
      <c r="M8" s="2">
        <v>2</v>
      </c>
      <c r="N8" s="2">
        <v>12</v>
      </c>
      <c r="O8" s="2">
        <v>16</v>
      </c>
      <c r="P8" s="2">
        <v>14</v>
      </c>
      <c r="Q8" s="2">
        <v>65</v>
      </c>
      <c r="R8" s="2">
        <v>9</v>
      </c>
      <c r="S8" s="2">
        <v>70</v>
      </c>
      <c r="T8" s="2">
        <v>72</v>
      </c>
      <c r="U8" s="2">
        <v>45</v>
      </c>
      <c r="V8" s="2">
        <v>17</v>
      </c>
      <c r="W8" s="2">
        <v>94</v>
      </c>
      <c r="X8" s="2">
        <v>91</v>
      </c>
      <c r="Y8" s="2">
        <v>78</v>
      </c>
      <c r="Z8" s="2">
        <v>51</v>
      </c>
      <c r="AA8" s="2">
        <v>31</v>
      </c>
      <c r="AB8" s="2">
        <v>93</v>
      </c>
      <c r="AC8" s="2">
        <v>64</v>
      </c>
      <c r="AD8" s="2">
        <v>47</v>
      </c>
      <c r="AE8" s="2">
        <v>65</v>
      </c>
    </row>
    <row r="9" spans="1:31" x14ac:dyDescent="0.55000000000000004">
      <c r="A9" s="1" t="s">
        <v>8</v>
      </c>
      <c r="B9" s="2">
        <v>11</v>
      </c>
      <c r="C9" s="2">
        <v>17</v>
      </c>
      <c r="D9" s="2">
        <v>54</v>
      </c>
      <c r="E9" s="2">
        <v>57</v>
      </c>
      <c r="F9" s="2">
        <v>74</v>
      </c>
      <c r="G9" s="2">
        <v>28</v>
      </c>
      <c r="H9" s="2">
        <v>47</v>
      </c>
      <c r="I9" s="2">
        <v>18</v>
      </c>
      <c r="J9" s="2">
        <v>32</v>
      </c>
      <c r="K9" s="2">
        <v>28</v>
      </c>
      <c r="L9" s="2">
        <v>24</v>
      </c>
      <c r="M9" s="2">
        <v>85</v>
      </c>
      <c r="N9" s="2">
        <v>46</v>
      </c>
      <c r="O9" s="2">
        <v>27</v>
      </c>
      <c r="P9" s="2">
        <v>51</v>
      </c>
      <c r="Q9" s="2">
        <v>63</v>
      </c>
      <c r="R9" s="2">
        <v>5</v>
      </c>
      <c r="S9" s="2">
        <v>64</v>
      </c>
      <c r="T9" s="2">
        <v>53</v>
      </c>
      <c r="U9" s="2">
        <v>2</v>
      </c>
      <c r="V9" s="2">
        <v>7</v>
      </c>
      <c r="W9" s="2">
        <v>43</v>
      </c>
      <c r="X9" s="2">
        <v>87</v>
      </c>
      <c r="Y9" s="2">
        <v>73</v>
      </c>
      <c r="Z9" s="2">
        <v>53</v>
      </c>
      <c r="AA9" s="2">
        <v>23</v>
      </c>
      <c r="AB9" s="2">
        <v>5</v>
      </c>
      <c r="AC9" s="2">
        <v>18</v>
      </c>
      <c r="AD9" s="2">
        <v>43</v>
      </c>
      <c r="AE9" s="2">
        <v>71</v>
      </c>
    </row>
    <row r="10" spans="1:31" x14ac:dyDescent="0.55000000000000004">
      <c r="A10" s="1" t="s">
        <v>9</v>
      </c>
      <c r="B10" s="2">
        <v>99</v>
      </c>
      <c r="C10" s="2">
        <v>80</v>
      </c>
      <c r="D10" s="2">
        <v>60</v>
      </c>
      <c r="E10" s="2">
        <v>40</v>
      </c>
      <c r="F10" s="2">
        <v>70</v>
      </c>
      <c r="G10" s="2">
        <v>52</v>
      </c>
      <c r="H10" s="2">
        <v>19</v>
      </c>
      <c r="I10" s="2">
        <v>85</v>
      </c>
      <c r="J10" s="2">
        <v>91</v>
      </c>
      <c r="K10" s="2">
        <v>42</v>
      </c>
      <c r="L10" s="2">
        <v>41</v>
      </c>
      <c r="M10" s="2">
        <v>23</v>
      </c>
      <c r="N10" s="2">
        <v>33</v>
      </c>
      <c r="O10" s="2">
        <v>82</v>
      </c>
      <c r="P10" s="2">
        <v>94</v>
      </c>
      <c r="Q10" s="2">
        <v>24</v>
      </c>
      <c r="R10" s="2">
        <v>89</v>
      </c>
      <c r="S10" s="2">
        <v>90</v>
      </c>
      <c r="T10" s="2">
        <v>17</v>
      </c>
      <c r="U10" s="2">
        <v>80</v>
      </c>
      <c r="V10" s="2">
        <v>39</v>
      </c>
      <c r="W10" s="2">
        <v>62</v>
      </c>
      <c r="X10" s="2">
        <v>85</v>
      </c>
      <c r="Y10" s="2">
        <v>68</v>
      </c>
      <c r="Z10" s="2">
        <v>46</v>
      </c>
      <c r="AA10" s="2">
        <v>18</v>
      </c>
      <c r="AB10" s="2">
        <v>23</v>
      </c>
      <c r="AC10" s="2">
        <v>14</v>
      </c>
      <c r="AD10" s="2">
        <v>28</v>
      </c>
      <c r="AE10" s="2">
        <v>52</v>
      </c>
    </row>
    <row r="11" spans="1:31" x14ac:dyDescent="0.55000000000000004">
      <c r="A11" s="1" t="s">
        <v>10</v>
      </c>
      <c r="B11" s="2">
        <v>10</v>
      </c>
      <c r="C11" s="2">
        <v>32</v>
      </c>
      <c r="D11" s="2">
        <v>18</v>
      </c>
      <c r="E11" s="2">
        <v>71</v>
      </c>
      <c r="F11" s="2">
        <v>43</v>
      </c>
      <c r="G11" s="2">
        <v>21</v>
      </c>
      <c r="H11" s="2">
        <v>21</v>
      </c>
      <c r="I11" s="2">
        <v>24</v>
      </c>
      <c r="J11" s="2">
        <v>27</v>
      </c>
      <c r="K11" s="2">
        <v>70</v>
      </c>
      <c r="L11" s="2">
        <v>23</v>
      </c>
      <c r="M11" s="2">
        <v>87</v>
      </c>
      <c r="N11" s="2">
        <v>24</v>
      </c>
      <c r="O11" s="2">
        <v>31</v>
      </c>
      <c r="P11" s="2">
        <v>96</v>
      </c>
      <c r="Q11" s="2">
        <v>26</v>
      </c>
      <c r="R11" s="2">
        <v>90</v>
      </c>
      <c r="S11" s="2">
        <v>53</v>
      </c>
      <c r="T11" s="2">
        <v>3</v>
      </c>
      <c r="U11" s="2">
        <v>49</v>
      </c>
      <c r="V11" s="2">
        <v>15</v>
      </c>
      <c r="W11" s="2">
        <v>48</v>
      </c>
      <c r="X11" s="2">
        <v>36</v>
      </c>
      <c r="Y11" s="2">
        <v>69</v>
      </c>
      <c r="Z11" s="2">
        <v>41</v>
      </c>
      <c r="AA11" s="2">
        <v>51</v>
      </c>
      <c r="AB11" s="2">
        <v>1</v>
      </c>
      <c r="AC11" s="2">
        <v>4</v>
      </c>
      <c r="AD11" s="2">
        <v>19</v>
      </c>
      <c r="AE11" s="2">
        <v>98</v>
      </c>
    </row>
    <row r="12" spans="1:31" x14ac:dyDescent="0.55000000000000004">
      <c r="A12" s="1" t="s">
        <v>11</v>
      </c>
      <c r="B12" s="2">
        <v>53</v>
      </c>
      <c r="C12" s="2">
        <v>32</v>
      </c>
      <c r="D12" s="2">
        <v>81</v>
      </c>
      <c r="E12" s="2">
        <v>36</v>
      </c>
      <c r="F12" s="2">
        <v>10</v>
      </c>
      <c r="G12" s="2">
        <v>67</v>
      </c>
      <c r="H12" s="2">
        <v>46</v>
      </c>
      <c r="I12" s="2">
        <v>21</v>
      </c>
      <c r="J12" s="2">
        <v>96</v>
      </c>
      <c r="K12" s="2">
        <v>62</v>
      </c>
      <c r="L12" s="2">
        <v>83</v>
      </c>
      <c r="M12" s="2">
        <v>46</v>
      </c>
      <c r="N12" s="2">
        <v>93</v>
      </c>
      <c r="O12" s="2">
        <v>54</v>
      </c>
      <c r="P12" s="2">
        <v>34</v>
      </c>
      <c r="Q12" s="2">
        <v>35</v>
      </c>
      <c r="R12" s="2">
        <v>9</v>
      </c>
      <c r="S12" s="2">
        <v>15</v>
      </c>
      <c r="T12" s="2">
        <v>37</v>
      </c>
      <c r="U12" s="2">
        <v>9</v>
      </c>
      <c r="V12" s="2">
        <v>94</v>
      </c>
      <c r="W12" s="2">
        <v>56</v>
      </c>
      <c r="X12" s="2">
        <v>48</v>
      </c>
      <c r="Y12" s="2">
        <v>74</v>
      </c>
      <c r="Z12" s="2">
        <v>39</v>
      </c>
      <c r="AA12" s="2">
        <v>53</v>
      </c>
      <c r="AB12" s="2">
        <v>33</v>
      </c>
      <c r="AC12" s="2">
        <v>92</v>
      </c>
      <c r="AD12" s="2">
        <v>56</v>
      </c>
      <c r="AE12" s="2">
        <v>11</v>
      </c>
    </row>
    <row r="13" spans="1:31" x14ac:dyDescent="0.55000000000000004">
      <c r="A13" s="3"/>
    </row>
    <row r="14" spans="1:31" x14ac:dyDescent="0.55000000000000004">
      <c r="A14" s="3" t="s">
        <v>12</v>
      </c>
    </row>
    <row r="15" spans="1:31" x14ac:dyDescent="0.55000000000000004">
      <c r="A15" t="s">
        <v>1</v>
      </c>
      <c r="B15">
        <v>2001</v>
      </c>
      <c r="C15">
        <v>2002</v>
      </c>
      <c r="D15">
        <v>2003</v>
      </c>
      <c r="E15">
        <v>2004</v>
      </c>
      <c r="F15">
        <v>2005</v>
      </c>
      <c r="G15">
        <v>2006</v>
      </c>
      <c r="H15">
        <v>2007</v>
      </c>
      <c r="I15">
        <v>2008</v>
      </c>
      <c r="J15">
        <v>2009</v>
      </c>
      <c r="K15">
        <v>2010</v>
      </c>
      <c r="L15">
        <v>2011</v>
      </c>
      <c r="M15">
        <v>2012</v>
      </c>
      <c r="N15">
        <v>2013</v>
      </c>
      <c r="O15">
        <v>2014</v>
      </c>
      <c r="P15">
        <v>2015</v>
      </c>
      <c r="Q15">
        <v>2016</v>
      </c>
      <c r="R15">
        <v>2017</v>
      </c>
      <c r="S15">
        <v>2018</v>
      </c>
      <c r="T15">
        <v>2019</v>
      </c>
      <c r="U15">
        <v>2020</v>
      </c>
      <c r="V15">
        <v>2021</v>
      </c>
      <c r="W15">
        <v>2022</v>
      </c>
      <c r="X15">
        <v>2023</v>
      </c>
      <c r="Y15">
        <v>2024</v>
      </c>
      <c r="Z15">
        <v>2025</v>
      </c>
      <c r="AA15">
        <v>2026</v>
      </c>
      <c r="AB15">
        <v>2027</v>
      </c>
      <c r="AC15">
        <v>2028</v>
      </c>
      <c r="AD15">
        <v>2029</v>
      </c>
      <c r="AE15">
        <v>2030</v>
      </c>
    </row>
    <row r="16" spans="1:31" x14ac:dyDescent="0.55000000000000004">
      <c r="A16" s="1" t="s">
        <v>13</v>
      </c>
      <c r="B16" s="2">
        <v>9</v>
      </c>
      <c r="C16" s="2">
        <v>12</v>
      </c>
      <c r="D16" s="2">
        <v>24</v>
      </c>
      <c r="E16" s="2">
        <v>11</v>
      </c>
      <c r="F16" s="2">
        <v>26</v>
      </c>
      <c r="G16" s="2">
        <v>16</v>
      </c>
      <c r="H16" s="2">
        <v>30</v>
      </c>
      <c r="I16" s="2">
        <v>19</v>
      </c>
      <c r="J16" s="2">
        <v>11</v>
      </c>
      <c r="K16" s="2">
        <v>13</v>
      </c>
      <c r="L16" s="2">
        <v>3</v>
      </c>
      <c r="M16" s="2">
        <v>4</v>
      </c>
      <c r="N16" s="2">
        <v>27</v>
      </c>
      <c r="O16" s="2">
        <v>20</v>
      </c>
      <c r="P16" s="2">
        <v>12</v>
      </c>
      <c r="Q16" s="2">
        <v>12</v>
      </c>
      <c r="R16" s="2">
        <v>25</v>
      </c>
      <c r="S16" s="2">
        <v>28</v>
      </c>
      <c r="T16" s="2">
        <v>18</v>
      </c>
      <c r="U16" s="2">
        <v>6</v>
      </c>
      <c r="V16" s="2">
        <v>26</v>
      </c>
      <c r="W16" s="2">
        <v>17</v>
      </c>
      <c r="X16" s="2">
        <v>30</v>
      </c>
      <c r="Y16" s="2">
        <v>27</v>
      </c>
      <c r="Z16" s="2">
        <v>25</v>
      </c>
      <c r="AA16" s="2">
        <v>11</v>
      </c>
      <c r="AB16" s="2">
        <v>14</v>
      </c>
      <c r="AC16" s="2">
        <v>23</v>
      </c>
      <c r="AD16" s="2">
        <v>23</v>
      </c>
      <c r="AE16" s="2">
        <v>11</v>
      </c>
    </row>
    <row r="17" spans="1:31" x14ac:dyDescent="0.55000000000000004">
      <c r="A17" s="1" t="s">
        <v>14</v>
      </c>
      <c r="B17" s="2">
        <v>17</v>
      </c>
      <c r="C17" s="2">
        <v>17</v>
      </c>
      <c r="D17" s="2">
        <v>11</v>
      </c>
      <c r="E17" s="2">
        <v>25</v>
      </c>
      <c r="F17" s="2">
        <v>24</v>
      </c>
      <c r="G17" s="2">
        <v>24</v>
      </c>
      <c r="H17" s="2">
        <v>1</v>
      </c>
      <c r="I17" s="2">
        <v>8</v>
      </c>
      <c r="J17" s="2">
        <v>25</v>
      </c>
      <c r="K17" s="2">
        <v>29</v>
      </c>
      <c r="L17" s="2">
        <v>9</v>
      </c>
      <c r="M17" s="2">
        <v>30</v>
      </c>
      <c r="N17" s="2">
        <v>8</v>
      </c>
      <c r="O17" s="2">
        <v>29</v>
      </c>
      <c r="P17" s="2">
        <v>4</v>
      </c>
      <c r="Q17" s="2">
        <v>21</v>
      </c>
      <c r="R17" s="2">
        <v>20</v>
      </c>
      <c r="S17" s="2">
        <v>5</v>
      </c>
      <c r="T17" s="2">
        <v>25</v>
      </c>
      <c r="U17" s="2">
        <v>15</v>
      </c>
      <c r="V17" s="2">
        <v>10</v>
      </c>
      <c r="W17" s="2">
        <v>20</v>
      </c>
      <c r="X17" s="2">
        <v>25</v>
      </c>
      <c r="Y17" s="2">
        <v>27</v>
      </c>
      <c r="Z17" s="2">
        <v>10</v>
      </c>
      <c r="AA17" s="2">
        <v>20</v>
      </c>
      <c r="AB17" s="2">
        <v>10</v>
      </c>
      <c r="AC17" s="2">
        <v>28</v>
      </c>
      <c r="AD17" s="2">
        <v>6</v>
      </c>
      <c r="AE17" s="2">
        <v>16</v>
      </c>
    </row>
    <row r="18" spans="1:31" x14ac:dyDescent="0.55000000000000004">
      <c r="A18" s="1" t="s">
        <v>15</v>
      </c>
      <c r="B18" s="2">
        <v>15</v>
      </c>
      <c r="C18" s="2">
        <v>1</v>
      </c>
      <c r="D18" s="2">
        <v>18</v>
      </c>
      <c r="E18" s="2">
        <v>4</v>
      </c>
      <c r="F18" s="2">
        <v>5</v>
      </c>
      <c r="G18" s="2">
        <v>2</v>
      </c>
      <c r="H18" s="2">
        <v>18</v>
      </c>
      <c r="I18" s="2">
        <v>13</v>
      </c>
      <c r="J18" s="2">
        <v>2</v>
      </c>
      <c r="K18" s="2">
        <v>15</v>
      </c>
      <c r="L18" s="2">
        <v>4</v>
      </c>
      <c r="M18" s="2">
        <v>8</v>
      </c>
      <c r="N18" s="2">
        <v>30</v>
      </c>
      <c r="O18" s="2">
        <v>3</v>
      </c>
      <c r="P18" s="2">
        <v>9</v>
      </c>
      <c r="Q18" s="2">
        <v>1</v>
      </c>
      <c r="R18" s="2">
        <v>19</v>
      </c>
      <c r="S18" s="2">
        <v>28</v>
      </c>
      <c r="T18" s="2">
        <v>27</v>
      </c>
      <c r="U18" s="2">
        <v>8</v>
      </c>
      <c r="V18" s="2">
        <v>21</v>
      </c>
      <c r="W18" s="2">
        <v>11</v>
      </c>
      <c r="X18" s="2">
        <v>4</v>
      </c>
      <c r="Y18" s="2">
        <v>1</v>
      </c>
      <c r="Z18" s="2">
        <v>22</v>
      </c>
      <c r="AA18" s="2">
        <v>2</v>
      </c>
      <c r="AB18" s="2">
        <v>16</v>
      </c>
      <c r="AC18" s="2">
        <v>21</v>
      </c>
      <c r="AD18" s="2">
        <v>19</v>
      </c>
      <c r="AE18" s="2">
        <v>6</v>
      </c>
    </row>
    <row r="19" spans="1:31" x14ac:dyDescent="0.55000000000000004">
      <c r="A19" s="1" t="s">
        <v>16</v>
      </c>
      <c r="B19" s="2">
        <v>5</v>
      </c>
      <c r="C19" s="2">
        <v>24</v>
      </c>
      <c r="D19" s="2">
        <v>21</v>
      </c>
      <c r="E19" s="2">
        <v>20</v>
      </c>
      <c r="F19" s="2">
        <v>16</v>
      </c>
      <c r="G19" s="2">
        <v>4</v>
      </c>
      <c r="H19" s="2">
        <v>6</v>
      </c>
      <c r="I19" s="2">
        <v>13</v>
      </c>
      <c r="J19" s="2">
        <v>24</v>
      </c>
      <c r="K19" s="2">
        <v>14</v>
      </c>
      <c r="L19" s="2">
        <v>15</v>
      </c>
      <c r="M19" s="2">
        <v>20</v>
      </c>
      <c r="N19" s="2">
        <v>25</v>
      </c>
      <c r="O19" s="2">
        <v>3</v>
      </c>
      <c r="P19" s="2">
        <v>27</v>
      </c>
      <c r="Q19" s="2">
        <v>6</v>
      </c>
      <c r="R19" s="2">
        <v>18</v>
      </c>
      <c r="S19" s="2">
        <v>18</v>
      </c>
      <c r="T19" s="2">
        <v>13</v>
      </c>
      <c r="U19" s="2">
        <v>21</v>
      </c>
      <c r="V19" s="2">
        <v>24</v>
      </c>
      <c r="W19" s="2">
        <v>17</v>
      </c>
      <c r="X19" s="2">
        <v>26</v>
      </c>
      <c r="Y19" s="2">
        <v>7</v>
      </c>
      <c r="Z19" s="2">
        <v>27</v>
      </c>
      <c r="AA19" s="2">
        <v>12</v>
      </c>
      <c r="AB19" s="2">
        <v>5</v>
      </c>
      <c r="AC19" s="2">
        <v>8</v>
      </c>
      <c r="AD19" s="2">
        <v>19</v>
      </c>
      <c r="AE19" s="2">
        <v>18</v>
      </c>
    </row>
    <row r="20" spans="1:31" x14ac:dyDescent="0.55000000000000004">
      <c r="A20" s="1" t="s">
        <v>17</v>
      </c>
      <c r="B20" s="2">
        <v>26</v>
      </c>
      <c r="C20" s="2">
        <v>30</v>
      </c>
      <c r="D20" s="2">
        <v>4</v>
      </c>
      <c r="E20" s="2">
        <v>15</v>
      </c>
      <c r="F20" s="2">
        <v>7</v>
      </c>
      <c r="G20" s="2">
        <v>1</v>
      </c>
      <c r="H20" s="2">
        <v>15</v>
      </c>
      <c r="I20" s="2">
        <v>4</v>
      </c>
      <c r="J20" s="2">
        <v>11</v>
      </c>
      <c r="K20" s="2">
        <v>21</v>
      </c>
      <c r="L20" s="2">
        <v>1</v>
      </c>
      <c r="M20" s="2">
        <v>4</v>
      </c>
      <c r="N20" s="2">
        <v>19</v>
      </c>
      <c r="O20" s="2">
        <v>25</v>
      </c>
      <c r="P20" s="2">
        <v>19</v>
      </c>
      <c r="Q20" s="2">
        <v>26</v>
      </c>
      <c r="R20" s="2">
        <v>4</v>
      </c>
      <c r="S20" s="2">
        <v>15</v>
      </c>
      <c r="T20" s="2">
        <v>22</v>
      </c>
      <c r="U20" s="2">
        <v>2</v>
      </c>
      <c r="V20" s="2">
        <v>14</v>
      </c>
      <c r="W20" s="2">
        <v>27</v>
      </c>
      <c r="X20" s="2">
        <v>29</v>
      </c>
      <c r="Y20" s="2">
        <v>4</v>
      </c>
      <c r="Z20" s="2">
        <v>23</v>
      </c>
      <c r="AA20" s="2">
        <v>4</v>
      </c>
      <c r="AB20" s="2">
        <v>30</v>
      </c>
      <c r="AC20" s="2">
        <v>11</v>
      </c>
      <c r="AD20" s="2">
        <v>18</v>
      </c>
      <c r="AE20" s="2">
        <v>14</v>
      </c>
    </row>
    <row r="21" spans="1:31" x14ac:dyDescent="0.55000000000000004">
      <c r="A21" s="1" t="s">
        <v>18</v>
      </c>
      <c r="B21" s="2">
        <v>21</v>
      </c>
      <c r="C21" s="2">
        <v>29</v>
      </c>
      <c r="D21" s="2">
        <v>26</v>
      </c>
      <c r="E21" s="2">
        <v>18</v>
      </c>
      <c r="F21" s="2">
        <v>6</v>
      </c>
      <c r="G21" s="2">
        <v>24</v>
      </c>
      <c r="H21" s="2">
        <v>17</v>
      </c>
      <c r="I21" s="2">
        <v>18</v>
      </c>
      <c r="J21" s="2">
        <v>12</v>
      </c>
      <c r="K21" s="2">
        <v>10</v>
      </c>
      <c r="L21" s="2">
        <v>1</v>
      </c>
      <c r="M21" s="2">
        <v>29</v>
      </c>
      <c r="N21" s="2">
        <v>20</v>
      </c>
      <c r="O21" s="2">
        <v>9</v>
      </c>
      <c r="P21" s="2">
        <v>19</v>
      </c>
      <c r="Q21" s="2">
        <v>28</v>
      </c>
      <c r="R21" s="2">
        <v>8</v>
      </c>
      <c r="S21" s="2">
        <v>21</v>
      </c>
      <c r="T21" s="2">
        <v>12</v>
      </c>
      <c r="U21" s="2">
        <v>9</v>
      </c>
      <c r="V21" s="2">
        <v>18</v>
      </c>
      <c r="W21" s="2">
        <v>12</v>
      </c>
      <c r="X21" s="2">
        <v>21</v>
      </c>
      <c r="Y21" s="2">
        <v>14</v>
      </c>
      <c r="Z21" s="2">
        <v>23</v>
      </c>
      <c r="AA21" s="2">
        <v>22</v>
      </c>
      <c r="AB21" s="2">
        <v>7</v>
      </c>
      <c r="AC21" s="2">
        <v>24</v>
      </c>
      <c r="AD21" s="2">
        <v>15</v>
      </c>
      <c r="AE21" s="2">
        <v>2</v>
      </c>
    </row>
    <row r="22" spans="1:31" x14ac:dyDescent="0.55000000000000004">
      <c r="A22" s="1" t="s">
        <v>19</v>
      </c>
      <c r="B22" s="2">
        <v>10</v>
      </c>
      <c r="C22" s="2">
        <v>14</v>
      </c>
      <c r="D22" s="2">
        <v>3</v>
      </c>
      <c r="E22" s="2">
        <v>2</v>
      </c>
      <c r="F22" s="2">
        <v>7</v>
      </c>
      <c r="G22" s="2">
        <v>21</v>
      </c>
      <c r="H22" s="2">
        <v>22</v>
      </c>
      <c r="I22" s="2">
        <v>9</v>
      </c>
      <c r="J22" s="2">
        <v>21</v>
      </c>
      <c r="K22" s="2">
        <v>24</v>
      </c>
      <c r="L22" s="2">
        <v>4</v>
      </c>
      <c r="M22" s="2">
        <v>13</v>
      </c>
      <c r="N22" s="2">
        <v>17</v>
      </c>
      <c r="O22" s="2">
        <v>5</v>
      </c>
      <c r="P22" s="2">
        <v>8</v>
      </c>
      <c r="Q22" s="2">
        <v>18</v>
      </c>
      <c r="R22" s="2">
        <v>22</v>
      </c>
      <c r="S22" s="2">
        <v>16</v>
      </c>
      <c r="T22" s="2">
        <v>27</v>
      </c>
      <c r="U22" s="2">
        <v>28</v>
      </c>
      <c r="V22" s="2">
        <v>19</v>
      </c>
      <c r="W22" s="2">
        <v>30</v>
      </c>
      <c r="X22" s="2">
        <v>30</v>
      </c>
      <c r="Y22" s="2">
        <v>26</v>
      </c>
      <c r="Z22" s="2">
        <v>22</v>
      </c>
      <c r="AA22" s="2">
        <v>25</v>
      </c>
      <c r="AB22" s="2">
        <v>3</v>
      </c>
      <c r="AC22" s="2">
        <v>3</v>
      </c>
      <c r="AD22" s="2">
        <v>26</v>
      </c>
      <c r="AE22" s="2">
        <v>15</v>
      </c>
    </row>
    <row r="23" spans="1:31" x14ac:dyDescent="0.55000000000000004">
      <c r="A23" s="1" t="s">
        <v>20</v>
      </c>
      <c r="B23" s="2">
        <v>28</v>
      </c>
      <c r="C23" s="2">
        <v>13</v>
      </c>
      <c r="D23" s="2">
        <v>30</v>
      </c>
      <c r="E23" s="2">
        <v>15</v>
      </c>
      <c r="F23" s="2">
        <v>24</v>
      </c>
      <c r="G23" s="2">
        <v>27</v>
      </c>
      <c r="H23" s="2">
        <v>14</v>
      </c>
      <c r="I23" s="2">
        <v>7</v>
      </c>
      <c r="J23" s="2">
        <v>22</v>
      </c>
      <c r="K23" s="2">
        <v>6</v>
      </c>
      <c r="L23" s="2">
        <v>7</v>
      </c>
      <c r="M23" s="2">
        <v>21</v>
      </c>
      <c r="N23" s="2">
        <v>1</v>
      </c>
      <c r="O23" s="2">
        <v>8</v>
      </c>
      <c r="P23" s="2">
        <v>11</v>
      </c>
      <c r="Q23" s="2">
        <v>1</v>
      </c>
      <c r="R23" s="2">
        <v>2</v>
      </c>
      <c r="S23" s="2">
        <v>5</v>
      </c>
      <c r="T23" s="2">
        <v>12</v>
      </c>
      <c r="U23" s="2">
        <v>15</v>
      </c>
      <c r="V23" s="2">
        <v>15</v>
      </c>
      <c r="W23" s="2">
        <v>2</v>
      </c>
      <c r="X23" s="2">
        <v>4</v>
      </c>
      <c r="Y23" s="2">
        <v>24</v>
      </c>
      <c r="Z23" s="2">
        <v>25</v>
      </c>
      <c r="AA23" s="2">
        <v>21</v>
      </c>
      <c r="AB23" s="2">
        <v>12</v>
      </c>
      <c r="AC23" s="2">
        <v>21</v>
      </c>
      <c r="AD23" s="2">
        <v>1</v>
      </c>
      <c r="AE23" s="2">
        <v>12</v>
      </c>
    </row>
    <row r="24" spans="1:31" x14ac:dyDescent="0.55000000000000004">
      <c r="A24" s="1" t="s">
        <v>21</v>
      </c>
      <c r="B24" s="2">
        <v>12</v>
      </c>
      <c r="C24" s="2">
        <v>14</v>
      </c>
      <c r="D24" s="2">
        <v>15</v>
      </c>
      <c r="E24" s="2">
        <v>19</v>
      </c>
      <c r="F24" s="2">
        <v>14</v>
      </c>
      <c r="G24" s="2">
        <v>1</v>
      </c>
      <c r="H24" s="2">
        <v>1</v>
      </c>
      <c r="I24" s="2">
        <v>27</v>
      </c>
      <c r="J24" s="2">
        <v>2</v>
      </c>
      <c r="K24" s="2">
        <v>10</v>
      </c>
      <c r="L24" s="2">
        <v>19</v>
      </c>
      <c r="M24" s="2">
        <v>21</v>
      </c>
      <c r="N24" s="2">
        <v>6</v>
      </c>
      <c r="O24" s="2">
        <v>5</v>
      </c>
      <c r="P24" s="2">
        <v>4</v>
      </c>
      <c r="Q24" s="2">
        <v>26</v>
      </c>
      <c r="R24" s="2">
        <v>23</v>
      </c>
      <c r="S24" s="2">
        <v>30</v>
      </c>
      <c r="T24" s="2">
        <v>17</v>
      </c>
      <c r="U24" s="2">
        <v>1</v>
      </c>
      <c r="V24" s="2">
        <v>28</v>
      </c>
      <c r="W24" s="2">
        <v>8</v>
      </c>
      <c r="X24" s="2">
        <v>18</v>
      </c>
      <c r="Y24" s="2">
        <v>13</v>
      </c>
      <c r="Z24" s="2">
        <v>18</v>
      </c>
      <c r="AA24" s="2">
        <v>21</v>
      </c>
      <c r="AB24" s="2">
        <v>29</v>
      </c>
      <c r="AC24" s="2">
        <v>2</v>
      </c>
      <c r="AD24" s="2">
        <v>28</v>
      </c>
      <c r="AE24" s="2">
        <v>20</v>
      </c>
    </row>
    <row r="25" spans="1:31" x14ac:dyDescent="0.55000000000000004">
      <c r="A25" s="1" t="s">
        <v>22</v>
      </c>
      <c r="B25" s="2">
        <v>12</v>
      </c>
      <c r="C25" s="2">
        <v>17</v>
      </c>
      <c r="D25" s="2">
        <v>27</v>
      </c>
      <c r="E25" s="2">
        <v>1</v>
      </c>
      <c r="F25" s="2">
        <v>11</v>
      </c>
      <c r="G25" s="2">
        <v>13</v>
      </c>
      <c r="H25" s="2">
        <v>30</v>
      </c>
      <c r="I25" s="2">
        <v>14</v>
      </c>
      <c r="J25" s="2">
        <v>20</v>
      </c>
      <c r="K25" s="2">
        <v>1</v>
      </c>
      <c r="L25" s="2">
        <v>5</v>
      </c>
      <c r="M25" s="2">
        <v>17</v>
      </c>
      <c r="N25" s="2">
        <v>10</v>
      </c>
      <c r="O25" s="2">
        <v>2</v>
      </c>
      <c r="P25" s="2">
        <v>20</v>
      </c>
      <c r="Q25" s="2">
        <v>29</v>
      </c>
      <c r="R25" s="2">
        <v>6</v>
      </c>
      <c r="S25" s="2">
        <v>21</v>
      </c>
      <c r="T25" s="2">
        <v>3</v>
      </c>
      <c r="U25" s="2">
        <v>27</v>
      </c>
      <c r="V25" s="2">
        <v>23</v>
      </c>
      <c r="W25" s="2">
        <v>11</v>
      </c>
      <c r="X25" s="2">
        <v>20</v>
      </c>
      <c r="Y25" s="2">
        <v>8</v>
      </c>
      <c r="Z25" s="2">
        <v>28</v>
      </c>
      <c r="AA25" s="2">
        <v>25</v>
      </c>
      <c r="AB25" s="2">
        <v>30</v>
      </c>
      <c r="AC25" s="2">
        <v>4</v>
      </c>
      <c r="AD25" s="2">
        <v>21</v>
      </c>
      <c r="AE25" s="2">
        <v>24</v>
      </c>
    </row>
    <row r="27" spans="1:31" x14ac:dyDescent="0.55000000000000004">
      <c r="A27" s="3" t="s">
        <v>23</v>
      </c>
    </row>
    <row r="28" spans="1:31" x14ac:dyDescent="0.55000000000000004">
      <c r="A28" t="s">
        <v>1</v>
      </c>
      <c r="B28">
        <v>2001</v>
      </c>
      <c r="C28">
        <v>2002</v>
      </c>
      <c r="D28">
        <v>2003</v>
      </c>
      <c r="E28">
        <v>2004</v>
      </c>
      <c r="F28">
        <v>2005</v>
      </c>
      <c r="G28">
        <v>2006</v>
      </c>
      <c r="H28">
        <v>2007</v>
      </c>
      <c r="I28">
        <v>2008</v>
      </c>
      <c r="J28">
        <v>2009</v>
      </c>
      <c r="K28">
        <v>2010</v>
      </c>
      <c r="L28">
        <v>2011</v>
      </c>
      <c r="M28">
        <v>2012</v>
      </c>
      <c r="N28">
        <v>2013</v>
      </c>
      <c r="O28">
        <v>2014</v>
      </c>
      <c r="P28">
        <v>2015</v>
      </c>
      <c r="Q28">
        <v>2016</v>
      </c>
      <c r="R28">
        <v>2017</v>
      </c>
      <c r="S28">
        <v>2018</v>
      </c>
      <c r="T28">
        <v>2019</v>
      </c>
      <c r="U28">
        <v>2020</v>
      </c>
      <c r="V28">
        <v>2021</v>
      </c>
      <c r="W28">
        <v>2022</v>
      </c>
      <c r="X28">
        <v>2023</v>
      </c>
      <c r="Y28">
        <v>2024</v>
      </c>
      <c r="Z28">
        <v>2025</v>
      </c>
      <c r="AA28">
        <v>2026</v>
      </c>
      <c r="AB28">
        <v>2027</v>
      </c>
      <c r="AC28">
        <v>2028</v>
      </c>
      <c r="AD28">
        <v>2029</v>
      </c>
      <c r="AE28">
        <v>2030</v>
      </c>
    </row>
    <row r="29" spans="1:31" x14ac:dyDescent="0.55000000000000004">
      <c r="A29" s="1" t="s">
        <v>24</v>
      </c>
      <c r="B29" s="2">
        <v>24</v>
      </c>
      <c r="C29" s="2">
        <v>22</v>
      </c>
      <c r="D29" s="2">
        <v>44</v>
      </c>
      <c r="E29" s="2">
        <v>23</v>
      </c>
      <c r="F29" s="2">
        <v>2</v>
      </c>
      <c r="G29" s="2">
        <v>13</v>
      </c>
      <c r="H29" s="2">
        <v>46</v>
      </c>
      <c r="I29" s="2">
        <v>8</v>
      </c>
      <c r="J29" s="2">
        <v>36</v>
      </c>
      <c r="K29" s="2">
        <v>34</v>
      </c>
      <c r="L29" s="2">
        <v>29</v>
      </c>
      <c r="M29" s="2">
        <v>49</v>
      </c>
      <c r="N29" s="2">
        <v>5</v>
      </c>
      <c r="O29" s="2">
        <v>49</v>
      </c>
      <c r="P29" s="2">
        <v>25</v>
      </c>
      <c r="Q29" s="2">
        <v>47</v>
      </c>
      <c r="R29" s="2">
        <v>13</v>
      </c>
      <c r="S29" s="2">
        <v>19</v>
      </c>
      <c r="T29" s="2">
        <v>24</v>
      </c>
      <c r="U29" s="2">
        <v>27</v>
      </c>
      <c r="V29" s="2">
        <v>8</v>
      </c>
      <c r="W29" s="2">
        <v>4</v>
      </c>
      <c r="X29" s="2">
        <v>43</v>
      </c>
      <c r="Y29" s="2">
        <v>11</v>
      </c>
      <c r="Z29" s="2">
        <v>43</v>
      </c>
      <c r="AA29" s="2">
        <v>28</v>
      </c>
      <c r="AB29" s="2">
        <v>3</v>
      </c>
      <c r="AC29" s="2">
        <v>25</v>
      </c>
      <c r="AD29" s="2">
        <v>12</v>
      </c>
      <c r="AE29" s="2">
        <v>4</v>
      </c>
    </row>
    <row r="30" spans="1:31" x14ac:dyDescent="0.55000000000000004">
      <c r="A30" s="1" t="s">
        <v>25</v>
      </c>
      <c r="B30" s="2">
        <v>32</v>
      </c>
      <c r="C30" s="2">
        <v>39</v>
      </c>
      <c r="D30" s="2">
        <v>12</v>
      </c>
      <c r="E30" s="2">
        <v>33</v>
      </c>
      <c r="F30" s="2">
        <v>21</v>
      </c>
      <c r="G30" s="2">
        <v>30</v>
      </c>
      <c r="H30" s="2">
        <v>9</v>
      </c>
      <c r="I30" s="2">
        <v>2</v>
      </c>
      <c r="J30" s="2">
        <v>1</v>
      </c>
      <c r="K30" s="2">
        <v>35</v>
      </c>
      <c r="L30" s="2">
        <v>45</v>
      </c>
      <c r="M30" s="2">
        <v>30</v>
      </c>
      <c r="N30" s="2">
        <v>1</v>
      </c>
      <c r="O30" s="2">
        <v>16</v>
      </c>
      <c r="P30" s="2">
        <v>13</v>
      </c>
      <c r="Q30" s="2">
        <v>38</v>
      </c>
      <c r="R30" s="2">
        <v>33</v>
      </c>
      <c r="S30" s="2">
        <v>3</v>
      </c>
      <c r="T30" s="2">
        <v>23</v>
      </c>
      <c r="U30" s="2">
        <v>25</v>
      </c>
      <c r="V30" s="2">
        <v>29</v>
      </c>
      <c r="W30" s="2">
        <v>3</v>
      </c>
      <c r="X30" s="2">
        <v>31</v>
      </c>
      <c r="Y30" s="2">
        <v>4</v>
      </c>
      <c r="Z30" s="2">
        <v>9</v>
      </c>
      <c r="AA30" s="2">
        <v>3</v>
      </c>
      <c r="AB30" s="2">
        <v>8</v>
      </c>
      <c r="AC30" s="2">
        <v>11</v>
      </c>
      <c r="AD30" s="2">
        <v>9</v>
      </c>
      <c r="AE30" s="2">
        <v>5</v>
      </c>
    </row>
    <row r="31" spans="1:31" x14ac:dyDescent="0.55000000000000004">
      <c r="A31" s="1" t="s">
        <v>26</v>
      </c>
      <c r="B31" s="2">
        <v>29</v>
      </c>
      <c r="C31" s="2">
        <v>32</v>
      </c>
      <c r="D31" s="2">
        <v>33</v>
      </c>
      <c r="E31" s="2">
        <v>30</v>
      </c>
      <c r="F31" s="2">
        <v>41</v>
      </c>
      <c r="G31" s="2">
        <v>26</v>
      </c>
      <c r="H31" s="2">
        <v>15</v>
      </c>
      <c r="I31" s="2">
        <v>48</v>
      </c>
      <c r="J31" s="2">
        <v>11</v>
      </c>
      <c r="K31" s="2">
        <v>24</v>
      </c>
      <c r="L31" s="2">
        <v>16</v>
      </c>
      <c r="M31" s="2">
        <v>1</v>
      </c>
      <c r="N31" s="2">
        <v>37</v>
      </c>
      <c r="O31" s="2">
        <v>28</v>
      </c>
      <c r="P31" s="2">
        <v>38</v>
      </c>
      <c r="Q31" s="2">
        <v>13</v>
      </c>
      <c r="R31" s="2">
        <v>47</v>
      </c>
      <c r="S31" s="2">
        <v>34</v>
      </c>
      <c r="T31" s="2">
        <v>5</v>
      </c>
      <c r="U31" s="2">
        <v>22</v>
      </c>
      <c r="V31" s="2">
        <v>50</v>
      </c>
      <c r="W31" s="2">
        <v>33</v>
      </c>
      <c r="X31" s="2">
        <v>7</v>
      </c>
      <c r="Y31" s="2">
        <v>37</v>
      </c>
      <c r="Z31" s="2">
        <v>12</v>
      </c>
      <c r="AA31" s="2">
        <v>8</v>
      </c>
      <c r="AB31" s="2">
        <v>15</v>
      </c>
      <c r="AC31" s="2">
        <v>47</v>
      </c>
      <c r="AD31" s="2">
        <v>24</v>
      </c>
      <c r="AE31" s="2">
        <v>20</v>
      </c>
    </row>
    <row r="32" spans="1:31" x14ac:dyDescent="0.55000000000000004">
      <c r="A32" s="1" t="s">
        <v>27</v>
      </c>
      <c r="B32" s="2">
        <v>44</v>
      </c>
      <c r="C32" s="2">
        <v>1</v>
      </c>
      <c r="D32" s="2">
        <v>32</v>
      </c>
      <c r="E32" s="2">
        <v>9</v>
      </c>
      <c r="F32" s="2">
        <v>12</v>
      </c>
      <c r="G32" s="2">
        <v>43</v>
      </c>
      <c r="H32" s="2">
        <v>44</v>
      </c>
      <c r="I32" s="2">
        <v>4</v>
      </c>
      <c r="J32" s="2">
        <v>38</v>
      </c>
      <c r="K32" s="2">
        <v>50</v>
      </c>
      <c r="L32" s="2">
        <v>14</v>
      </c>
      <c r="M32" s="2">
        <v>31</v>
      </c>
      <c r="N32" s="2">
        <v>8</v>
      </c>
      <c r="O32" s="2">
        <v>9</v>
      </c>
      <c r="P32" s="2">
        <v>42</v>
      </c>
      <c r="Q32" s="2">
        <v>7</v>
      </c>
      <c r="R32" s="2">
        <v>34</v>
      </c>
      <c r="S32" s="2">
        <v>18</v>
      </c>
      <c r="T32" s="2">
        <v>29</v>
      </c>
      <c r="U32" s="2">
        <v>16</v>
      </c>
      <c r="V32" s="2">
        <v>8</v>
      </c>
      <c r="W32" s="2">
        <v>45</v>
      </c>
      <c r="X32" s="2">
        <v>16</v>
      </c>
      <c r="Y32" s="2">
        <v>37</v>
      </c>
      <c r="Z32" s="2">
        <v>18</v>
      </c>
      <c r="AA32" s="2">
        <v>14</v>
      </c>
      <c r="AB32" s="2">
        <v>50</v>
      </c>
      <c r="AC32" s="2">
        <v>17</v>
      </c>
      <c r="AD32" s="2">
        <v>27</v>
      </c>
      <c r="AE32" s="2">
        <v>21</v>
      </c>
    </row>
    <row r="33" spans="1:31" x14ac:dyDescent="0.55000000000000004">
      <c r="A33" s="1" t="s">
        <v>28</v>
      </c>
      <c r="B33" s="2">
        <v>36</v>
      </c>
      <c r="C33" s="2">
        <v>17</v>
      </c>
      <c r="D33" s="2">
        <v>45</v>
      </c>
      <c r="E33" s="2">
        <v>34</v>
      </c>
      <c r="F33" s="2">
        <v>13</v>
      </c>
      <c r="G33" s="2">
        <v>25</v>
      </c>
      <c r="H33" s="2">
        <v>3</v>
      </c>
      <c r="I33" s="2">
        <v>25</v>
      </c>
      <c r="J33" s="2">
        <v>22</v>
      </c>
      <c r="K33" s="2">
        <v>24</v>
      </c>
      <c r="L33" s="2">
        <v>41</v>
      </c>
      <c r="M33" s="2">
        <v>18</v>
      </c>
      <c r="N33" s="2">
        <v>7</v>
      </c>
      <c r="O33" s="2">
        <v>46</v>
      </c>
      <c r="P33" s="2">
        <v>47</v>
      </c>
      <c r="Q33" s="2">
        <v>9</v>
      </c>
      <c r="R33" s="2">
        <v>20</v>
      </c>
      <c r="S33" s="2">
        <v>41</v>
      </c>
      <c r="T33" s="2">
        <v>25</v>
      </c>
      <c r="U33" s="2">
        <v>49</v>
      </c>
      <c r="V33" s="2">
        <v>29</v>
      </c>
      <c r="W33" s="2">
        <v>33</v>
      </c>
      <c r="X33" s="2">
        <v>3</v>
      </c>
      <c r="Y33" s="2">
        <v>46</v>
      </c>
      <c r="Z33" s="2">
        <v>25</v>
      </c>
      <c r="AA33" s="2">
        <v>4</v>
      </c>
      <c r="AB33" s="2">
        <v>39</v>
      </c>
      <c r="AC33" s="2">
        <v>28</v>
      </c>
      <c r="AD33" s="2">
        <v>37</v>
      </c>
      <c r="AE33" s="2">
        <v>31</v>
      </c>
    </row>
    <row r="34" spans="1:31" x14ac:dyDescent="0.55000000000000004">
      <c r="A34" s="1" t="s">
        <v>29</v>
      </c>
      <c r="B34" s="2">
        <v>4</v>
      </c>
      <c r="C34" s="2">
        <v>22</v>
      </c>
      <c r="D34" s="2">
        <v>48</v>
      </c>
      <c r="E34" s="2">
        <v>5</v>
      </c>
      <c r="F34" s="2">
        <v>8</v>
      </c>
      <c r="G34" s="2">
        <v>50</v>
      </c>
      <c r="H34" s="2">
        <v>2</v>
      </c>
      <c r="I34" s="2">
        <v>16</v>
      </c>
      <c r="J34" s="2">
        <v>48</v>
      </c>
      <c r="K34" s="2">
        <v>3</v>
      </c>
      <c r="L34" s="2">
        <v>35</v>
      </c>
      <c r="M34" s="2">
        <v>32</v>
      </c>
      <c r="N34" s="2">
        <v>28</v>
      </c>
      <c r="O34" s="2">
        <v>9</v>
      </c>
      <c r="P34" s="2">
        <v>17</v>
      </c>
      <c r="Q34" s="2">
        <v>7</v>
      </c>
      <c r="R34" s="2">
        <v>6</v>
      </c>
      <c r="S34" s="2">
        <v>6</v>
      </c>
      <c r="T34" s="2">
        <v>25</v>
      </c>
      <c r="U34" s="2">
        <v>12</v>
      </c>
      <c r="V34" s="2">
        <v>44</v>
      </c>
      <c r="W34" s="2">
        <v>37</v>
      </c>
      <c r="X34" s="2">
        <v>30</v>
      </c>
      <c r="Y34" s="2">
        <v>48</v>
      </c>
      <c r="Z34" s="2">
        <v>47</v>
      </c>
      <c r="AA34" s="2">
        <v>49</v>
      </c>
      <c r="AB34" s="2">
        <v>20</v>
      </c>
      <c r="AC34" s="2">
        <v>47</v>
      </c>
      <c r="AD34" s="2">
        <v>30</v>
      </c>
      <c r="AE34" s="2">
        <v>17</v>
      </c>
    </row>
    <row r="35" spans="1:31" x14ac:dyDescent="0.55000000000000004">
      <c r="A35" s="1" t="s">
        <v>30</v>
      </c>
      <c r="B35" s="2">
        <v>17</v>
      </c>
      <c r="C35" s="2">
        <v>15</v>
      </c>
      <c r="D35" s="2">
        <v>11</v>
      </c>
      <c r="E35" s="2">
        <v>24</v>
      </c>
      <c r="F35" s="2">
        <v>48</v>
      </c>
      <c r="G35" s="2">
        <v>48</v>
      </c>
      <c r="H35" s="2">
        <v>18</v>
      </c>
      <c r="I35" s="2">
        <v>38</v>
      </c>
      <c r="J35" s="2">
        <v>17</v>
      </c>
      <c r="K35" s="2">
        <v>35</v>
      </c>
      <c r="L35" s="2">
        <v>1</v>
      </c>
      <c r="M35" s="2">
        <v>27</v>
      </c>
      <c r="N35" s="2">
        <v>38</v>
      </c>
      <c r="O35" s="2">
        <v>38</v>
      </c>
      <c r="P35" s="2">
        <v>25</v>
      </c>
      <c r="Q35" s="2">
        <v>11</v>
      </c>
      <c r="R35" s="2">
        <v>41</v>
      </c>
      <c r="S35" s="2">
        <v>3</v>
      </c>
      <c r="T35" s="2">
        <v>20</v>
      </c>
      <c r="U35" s="2">
        <v>36</v>
      </c>
      <c r="V35" s="2">
        <v>29</v>
      </c>
      <c r="W35" s="2">
        <v>26</v>
      </c>
      <c r="X35" s="2">
        <v>16</v>
      </c>
      <c r="Y35" s="2">
        <v>34</v>
      </c>
      <c r="Z35" s="2">
        <v>37</v>
      </c>
      <c r="AA35" s="2">
        <v>37</v>
      </c>
      <c r="AB35" s="2">
        <v>3</v>
      </c>
      <c r="AC35" s="2">
        <v>47</v>
      </c>
      <c r="AD35" s="2">
        <v>10</v>
      </c>
      <c r="AE35" s="2">
        <v>7</v>
      </c>
    </row>
    <row r="36" spans="1:31" x14ac:dyDescent="0.55000000000000004">
      <c r="A36" s="1" t="s">
        <v>31</v>
      </c>
      <c r="B36" s="2">
        <v>32</v>
      </c>
      <c r="C36" s="2">
        <v>10</v>
      </c>
      <c r="D36" s="2">
        <v>38</v>
      </c>
      <c r="E36" s="2">
        <v>16</v>
      </c>
      <c r="F36" s="2">
        <v>14</v>
      </c>
      <c r="G36" s="2">
        <v>9</v>
      </c>
      <c r="H36" s="2">
        <v>34</v>
      </c>
      <c r="I36" s="2">
        <v>20</v>
      </c>
      <c r="J36" s="2">
        <v>49</v>
      </c>
      <c r="K36" s="2">
        <v>47</v>
      </c>
      <c r="L36" s="2">
        <v>13</v>
      </c>
      <c r="M36" s="2">
        <v>18</v>
      </c>
      <c r="N36" s="2">
        <v>6</v>
      </c>
      <c r="O36" s="2">
        <v>27</v>
      </c>
      <c r="P36" s="2">
        <v>12</v>
      </c>
      <c r="Q36" s="2">
        <v>40</v>
      </c>
      <c r="R36" s="2">
        <v>47</v>
      </c>
      <c r="S36" s="2">
        <v>27</v>
      </c>
      <c r="T36" s="2">
        <v>4</v>
      </c>
      <c r="U36" s="2">
        <v>14</v>
      </c>
      <c r="V36" s="2">
        <v>17</v>
      </c>
      <c r="W36" s="2">
        <v>18</v>
      </c>
      <c r="X36" s="2">
        <v>47</v>
      </c>
      <c r="Y36" s="2">
        <v>48</v>
      </c>
      <c r="Z36" s="2">
        <v>20</v>
      </c>
      <c r="AA36" s="2">
        <v>7</v>
      </c>
      <c r="AB36" s="2">
        <v>23</v>
      </c>
      <c r="AC36" s="2">
        <v>26</v>
      </c>
      <c r="AD36" s="2">
        <v>13</v>
      </c>
      <c r="AE36" s="2">
        <v>1</v>
      </c>
    </row>
    <row r="37" spans="1:31" x14ac:dyDescent="0.55000000000000004">
      <c r="A37" s="1" t="s">
        <v>32</v>
      </c>
      <c r="B37" s="2">
        <v>39</v>
      </c>
      <c r="C37" s="2">
        <v>36</v>
      </c>
      <c r="D37" s="2">
        <v>26</v>
      </c>
      <c r="E37" s="2">
        <v>35</v>
      </c>
      <c r="F37" s="2">
        <v>30</v>
      </c>
      <c r="G37" s="2">
        <v>32</v>
      </c>
      <c r="H37" s="2">
        <v>17</v>
      </c>
      <c r="I37" s="2">
        <v>40</v>
      </c>
      <c r="J37" s="2">
        <v>14</v>
      </c>
      <c r="K37" s="2">
        <v>28</v>
      </c>
      <c r="L37" s="2">
        <v>14</v>
      </c>
      <c r="M37" s="2">
        <v>38</v>
      </c>
      <c r="N37" s="2">
        <v>16</v>
      </c>
      <c r="O37" s="2">
        <v>20</v>
      </c>
      <c r="P37" s="2">
        <v>35</v>
      </c>
      <c r="Q37" s="2">
        <v>9</v>
      </c>
      <c r="R37" s="2">
        <v>25</v>
      </c>
      <c r="S37" s="2">
        <v>21</v>
      </c>
      <c r="T37" s="2">
        <v>17</v>
      </c>
      <c r="U37" s="2">
        <v>23</v>
      </c>
      <c r="V37" s="2">
        <v>2</v>
      </c>
      <c r="W37" s="2">
        <v>40</v>
      </c>
      <c r="X37" s="2">
        <v>3</v>
      </c>
      <c r="Y37" s="2">
        <v>8</v>
      </c>
      <c r="Z37" s="2">
        <v>25</v>
      </c>
      <c r="AA37" s="2">
        <v>29</v>
      </c>
      <c r="AB37" s="2">
        <v>2</v>
      </c>
      <c r="AC37" s="2">
        <v>23</v>
      </c>
      <c r="AD37" s="2">
        <v>16</v>
      </c>
      <c r="AE37" s="2">
        <v>32</v>
      </c>
    </row>
    <row r="38" spans="1:31" x14ac:dyDescent="0.55000000000000004">
      <c r="A38" s="1" t="s">
        <v>33</v>
      </c>
      <c r="B38" s="2">
        <v>31</v>
      </c>
      <c r="C38" s="2">
        <v>5</v>
      </c>
      <c r="D38" s="2">
        <v>3</v>
      </c>
      <c r="E38" s="2">
        <v>20</v>
      </c>
      <c r="F38" s="2">
        <v>27</v>
      </c>
      <c r="G38" s="2">
        <v>31</v>
      </c>
      <c r="H38" s="2">
        <v>49</v>
      </c>
      <c r="I38" s="2">
        <v>8</v>
      </c>
      <c r="J38" s="2">
        <v>38</v>
      </c>
      <c r="K38" s="2">
        <v>34</v>
      </c>
      <c r="L38" s="2">
        <v>30</v>
      </c>
      <c r="M38" s="2">
        <v>19</v>
      </c>
      <c r="N38" s="2">
        <v>27</v>
      </c>
      <c r="O38" s="2">
        <v>35</v>
      </c>
      <c r="P38" s="2">
        <v>44</v>
      </c>
      <c r="Q38" s="2">
        <v>16</v>
      </c>
      <c r="R38" s="2">
        <v>36</v>
      </c>
      <c r="S38" s="2">
        <v>46</v>
      </c>
      <c r="T38" s="2">
        <v>22</v>
      </c>
      <c r="U38" s="2">
        <v>12</v>
      </c>
      <c r="V38" s="2">
        <v>29</v>
      </c>
      <c r="W38" s="2">
        <v>9</v>
      </c>
      <c r="X38" s="2">
        <v>25</v>
      </c>
      <c r="Y38" s="2">
        <v>5</v>
      </c>
      <c r="Z38" s="2">
        <v>4</v>
      </c>
      <c r="AA38" s="2">
        <v>36</v>
      </c>
      <c r="AB38" s="2">
        <v>25</v>
      </c>
      <c r="AC38" s="2">
        <v>40</v>
      </c>
      <c r="AD38" s="2">
        <v>37</v>
      </c>
      <c r="AE38" s="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1F7B-E54C-4206-BC88-015EDA837651}">
  <sheetPr codeName="Sheet1"/>
  <dimension ref="A1:AF31"/>
  <sheetViews>
    <sheetView showGridLines="0" tabSelected="1" zoomScale="93" zoomScaleNormal="93" workbookViewId="0">
      <selection activeCell="P6" sqref="P6"/>
    </sheetView>
  </sheetViews>
  <sheetFormatPr defaultColWidth="9.15625" defaultRowHeight="14.6" x14ac:dyDescent="0.4"/>
  <cols>
    <col min="1" max="1" width="19.5234375" style="4" customWidth="1"/>
    <col min="2" max="2" width="9.15625" style="4"/>
    <col min="3" max="3" width="6.68359375" style="4" customWidth="1"/>
    <col min="4" max="4" width="9.15625" style="4"/>
    <col min="5" max="5" width="7.20703125" style="4" customWidth="1"/>
    <col min="6" max="6" width="9.15625" style="4"/>
    <col min="7" max="7" width="7" style="4" customWidth="1"/>
    <col min="8" max="9" width="9.15625" style="4"/>
    <col min="10" max="10" width="0.9453125" style="4" hidden="1" customWidth="1"/>
    <col min="11" max="16384" width="9.15625" style="4"/>
  </cols>
  <sheetData>
    <row r="1" spans="1:32" ht="14.6" customHeight="1" x14ac:dyDescent="0.4">
      <c r="A1" s="4">
        <v>2</v>
      </c>
      <c r="D1" s="33"/>
      <c r="E1" s="33"/>
      <c r="F1" s="33"/>
      <c r="G1" s="33"/>
      <c r="H1" s="33"/>
      <c r="I1" s="33"/>
      <c r="J1" s="35"/>
      <c r="K1" s="35"/>
      <c r="L1" s="14"/>
      <c r="M1" s="14"/>
      <c r="N1" s="14"/>
      <c r="O1" s="15"/>
      <c r="S1" s="32" t="str">
        <f ca="1">"KPI of" &amp;" "&amp; PROPER(A14)</f>
        <v xml:space="preserve">KPI of Chandrabhanu Rout        </v>
      </c>
    </row>
    <row r="2" spans="1:32" ht="15" customHeight="1" x14ac:dyDescent="0.4">
      <c r="A2" s="4">
        <v>3</v>
      </c>
      <c r="D2" s="33"/>
      <c r="E2" s="33"/>
      <c r="F2" s="33"/>
      <c r="G2" s="33"/>
      <c r="H2" s="33"/>
      <c r="I2" s="33"/>
      <c r="J2" s="36"/>
      <c r="K2" s="36"/>
      <c r="L2" s="37"/>
      <c r="M2" s="37"/>
      <c r="N2" s="37"/>
      <c r="O2" s="17"/>
    </row>
    <row r="3" spans="1:32" ht="15" thickBot="1" x14ac:dyDescent="0.45">
      <c r="J3" s="18"/>
      <c r="K3" s="18"/>
      <c r="L3" s="19"/>
      <c r="M3" s="19"/>
      <c r="N3" s="19"/>
      <c r="O3" s="20"/>
    </row>
    <row r="4" spans="1:32" ht="15" thickBot="1" x14ac:dyDescent="0.45">
      <c r="A4" s="5">
        <v>20</v>
      </c>
      <c r="B4" s="6"/>
      <c r="C4" s="6"/>
      <c r="D4" s="6"/>
      <c r="E4" s="6"/>
      <c r="F4" s="6"/>
      <c r="G4" s="6"/>
      <c r="H4" s="6"/>
      <c r="I4" s="15"/>
      <c r="J4" s="16"/>
      <c r="K4" s="16"/>
      <c r="L4" s="16"/>
      <c r="M4" s="16"/>
      <c r="N4" s="16"/>
      <c r="O4" s="16"/>
    </row>
    <row r="5" spans="1:32" ht="15.45" thickTop="1" thickBot="1" x14ac:dyDescent="0.45">
      <c r="A5" s="8"/>
      <c r="I5" s="17"/>
      <c r="J5" s="16"/>
      <c r="K5" s="46"/>
      <c r="L5" s="46"/>
      <c r="M5" s="46"/>
      <c r="N5" s="46"/>
      <c r="O5" s="46"/>
    </row>
    <row r="6" spans="1:32" ht="16.75" thickTop="1" thickBot="1" x14ac:dyDescent="0.5">
      <c r="A6" s="8"/>
      <c r="I6" s="9"/>
      <c r="J6" s="45"/>
      <c r="K6" s="47" t="s">
        <v>42</v>
      </c>
      <c r="L6" s="47" t="s">
        <v>43</v>
      </c>
      <c r="M6" s="47" t="s">
        <v>44</v>
      </c>
      <c r="N6" s="47" t="s">
        <v>45</v>
      </c>
      <c r="O6" s="48" t="s">
        <v>46</v>
      </c>
    </row>
    <row r="7" spans="1:32" ht="14.6" customHeight="1" x14ac:dyDescent="0.4">
      <c r="A7" s="8"/>
      <c r="C7" s="4" t="s">
        <v>34</v>
      </c>
      <c r="I7" s="9"/>
      <c r="K7" s="50">
        <f ca="1">SUM(Y8:AF8)</f>
        <v>1398</v>
      </c>
      <c r="L7" s="50">
        <f ca="1">COUNTA(Y8:AF8)</f>
        <v>8</v>
      </c>
      <c r="M7" s="50">
        <f ca="1">MAX(Y8:AF8)</f>
        <v>223</v>
      </c>
      <c r="N7" s="50">
        <f ca="1">MIN(Y8:AF8)</f>
        <v>145</v>
      </c>
      <c r="O7" s="50">
        <f ca="1">AVERAGE(Y8:AF8)</f>
        <v>174.75</v>
      </c>
      <c r="X7" s="4" t="str">
        <f>A17</f>
        <v>Department</v>
      </c>
      <c r="Y7" s="49">
        <f ca="1">B17</f>
        <v>2021</v>
      </c>
      <c r="Z7" s="49">
        <f ca="1">Y7+1</f>
        <v>2022</v>
      </c>
      <c r="AA7" s="49">
        <f t="shared" ref="AA7:AF7" ca="1" si="0">Z7+1</f>
        <v>2023</v>
      </c>
      <c r="AB7" s="49">
        <f t="shared" ca="1" si="0"/>
        <v>2024</v>
      </c>
      <c r="AC7" s="49">
        <f t="shared" ca="1" si="0"/>
        <v>2025</v>
      </c>
      <c r="AD7" s="49">
        <f t="shared" ca="1" si="0"/>
        <v>2026</v>
      </c>
      <c r="AE7" s="49">
        <f t="shared" ca="1" si="0"/>
        <v>2027</v>
      </c>
      <c r="AF7" s="49">
        <f t="shared" ca="1" si="0"/>
        <v>2028</v>
      </c>
    </row>
    <row r="8" spans="1:32" ht="21" customHeight="1" thickBot="1" x14ac:dyDescent="0.45">
      <c r="A8" s="8"/>
      <c r="I8" s="9"/>
      <c r="K8" s="51"/>
      <c r="L8" s="51"/>
      <c r="M8" s="51"/>
      <c r="N8" s="51"/>
      <c r="O8" s="51"/>
      <c r="X8" s="4" t="str">
        <f>CHOOSE($A$1,"Finance","Operation","HR")</f>
        <v>Operation</v>
      </c>
      <c r="Y8" s="49">
        <f ca="1">INDEX($B$18:$I$20,MATCH($X8,$A$18:$A$20,0),MATCH(Y$7,$B$17:$I$17,0))</f>
        <v>198</v>
      </c>
      <c r="Z8" s="49">
        <f t="shared" ref="Z8:AF8" ca="1" si="1">INDEX($B$18:$I$20,MATCH($X8,$A$18:$A$20,0),MATCH(Z$7,$B$17:$I$17,0))</f>
        <v>155</v>
      </c>
      <c r="AA8" s="49">
        <f t="shared" ca="1" si="1"/>
        <v>207</v>
      </c>
      <c r="AB8" s="49">
        <f t="shared" ca="1" si="1"/>
        <v>151</v>
      </c>
      <c r="AC8" s="49">
        <f t="shared" ca="1" si="1"/>
        <v>223</v>
      </c>
      <c r="AD8" s="49">
        <f t="shared" ca="1" si="1"/>
        <v>163</v>
      </c>
      <c r="AE8" s="49">
        <f t="shared" ca="1" si="1"/>
        <v>156</v>
      </c>
      <c r="AF8" s="49">
        <f t="shared" ca="1" si="1"/>
        <v>145</v>
      </c>
    </row>
    <row r="9" spans="1:32" ht="21" customHeight="1" x14ac:dyDescent="0.4">
      <c r="A9" s="8"/>
      <c r="I9" s="34"/>
      <c r="J9" s="5"/>
      <c r="K9" s="5"/>
      <c r="L9" s="6"/>
      <c r="M9" s="6"/>
      <c r="N9" s="6"/>
      <c r="O9" s="7"/>
    </row>
    <row r="10" spans="1:32" ht="20.6" customHeight="1" x14ac:dyDescent="0.4">
      <c r="A10" s="8"/>
      <c r="I10" s="34"/>
      <c r="J10" s="8"/>
      <c r="K10" s="8"/>
      <c r="L10" s="34"/>
      <c r="M10" s="34"/>
      <c r="N10" s="34"/>
      <c r="O10" s="9"/>
    </row>
    <row r="11" spans="1:32" ht="15" thickBot="1" x14ac:dyDescent="0.45">
      <c r="A11" s="10"/>
      <c r="B11" s="11"/>
      <c r="C11" s="11"/>
      <c r="D11" s="11"/>
      <c r="E11" s="11"/>
      <c r="F11" s="11"/>
      <c r="G11" s="11"/>
      <c r="H11" s="11"/>
      <c r="I11" s="11"/>
      <c r="J11" s="8"/>
      <c r="K11" s="8"/>
      <c r="L11" s="34"/>
      <c r="M11" s="34"/>
      <c r="N11" s="34"/>
      <c r="O11" s="9"/>
    </row>
    <row r="12" spans="1:32" ht="15" thickBot="1" x14ac:dyDescent="0.45">
      <c r="A12" s="5"/>
      <c r="B12" s="6"/>
      <c r="C12" s="6"/>
      <c r="D12" s="6" t="s">
        <v>35</v>
      </c>
      <c r="E12" s="6"/>
      <c r="F12" s="6"/>
      <c r="G12" s="6"/>
      <c r="H12" s="6"/>
      <c r="I12" s="6"/>
      <c r="J12" s="8"/>
      <c r="K12" s="8"/>
      <c r="L12" s="34"/>
      <c r="M12" s="34"/>
      <c r="N12" s="34"/>
      <c r="O12" s="9"/>
    </row>
    <row r="13" spans="1:32" x14ac:dyDescent="0.4">
      <c r="A13" s="41" t="s">
        <v>36</v>
      </c>
      <c r="B13" s="22">
        <f ca="1">OFFSET(RawData!$A$2,0,COLUMN(A1)+$A$4)</f>
        <v>2021</v>
      </c>
      <c r="C13" s="22">
        <f ca="1">OFFSET(RawData!$A$2,0,COLUMN(B1)+$A$4)</f>
        <v>2022</v>
      </c>
      <c r="D13" s="22">
        <f ca="1">OFFSET(RawData!$A$2,0,COLUMN(C1)+$A$4)</f>
        <v>2023</v>
      </c>
      <c r="E13" s="22">
        <f ca="1">OFFSET(RawData!$A$2,0,COLUMN(D1)+$A$4)</f>
        <v>2024</v>
      </c>
      <c r="F13" s="22">
        <f ca="1">OFFSET(RawData!$A$2,0,COLUMN(E1)+$A$4)</f>
        <v>2025</v>
      </c>
      <c r="G13" s="22">
        <f ca="1">OFFSET(RawData!$A$2,0,COLUMN(F1)+$A$4)</f>
        <v>2026</v>
      </c>
      <c r="H13" s="22">
        <f ca="1">OFFSET(RawData!$A$2,0,COLUMN(G1)+$A$4)</f>
        <v>2027</v>
      </c>
      <c r="I13" s="22">
        <f ca="1">OFFSET(RawData!$A$2,0,COLUMN(H1)+$A$4)</f>
        <v>2028</v>
      </c>
      <c r="J13" s="34"/>
      <c r="K13" s="8"/>
      <c r="L13" s="34"/>
      <c r="M13" s="34"/>
      <c r="N13" s="34"/>
      <c r="O13" s="9"/>
    </row>
    <row r="14" spans="1:32" x14ac:dyDescent="0.4">
      <c r="A14" s="43" t="str">
        <f ca="1">CHOOSE($A$1,OFFSET(RawData!$A$2,'KPI Dashboard'!$A$2,0),OFFSET(RawData!$A$15,'KPI Dashboard'!$A$2,0),OFFSET(RawData!$A$28,'KPI Dashboard'!$A$2,0))</f>
        <v xml:space="preserve">CHANDRABHANU ROUT        </v>
      </c>
      <c r="B14" s="22">
        <f ca="1">VLOOKUP($A14,RawData!$A$3:$AE$38,MATCH('KPI Dashboard'!B$13,RawData!$A$15:$AE$15,0),0)</f>
        <v>21</v>
      </c>
      <c r="C14" s="22">
        <f ca="1">VLOOKUP($A14,RawData!$A$3:$AE$38,MATCH('KPI Dashboard'!C$13,RawData!$A$15:$AE$15,0),0)</f>
        <v>11</v>
      </c>
      <c r="D14" s="22">
        <f ca="1">VLOOKUP($A14,RawData!$A$3:$AE$38,MATCH('KPI Dashboard'!D$13,RawData!$A$15:$AE$15,0),0)</f>
        <v>4</v>
      </c>
      <c r="E14" s="22">
        <f ca="1">VLOOKUP($A14,RawData!$A$3:$AE$38,MATCH('KPI Dashboard'!E$13,RawData!$A$15:$AE$15,0),0)</f>
        <v>1</v>
      </c>
      <c r="F14" s="22">
        <f ca="1">VLOOKUP($A14,RawData!$A$3:$AE$38,MATCH('KPI Dashboard'!F$13,RawData!$A$15:$AE$15,0),0)</f>
        <v>22</v>
      </c>
      <c r="G14" s="22">
        <f ca="1">VLOOKUP($A14,RawData!$A$3:$AE$38,MATCH('KPI Dashboard'!G$13,RawData!$A$15:$AE$15,0),0)</f>
        <v>2</v>
      </c>
      <c r="H14" s="22">
        <f ca="1">VLOOKUP($A14,RawData!$A$3:$AE$38,MATCH('KPI Dashboard'!H$13,RawData!$A$15:$AE$15,0),0)</f>
        <v>16</v>
      </c>
      <c r="I14" s="22">
        <f ca="1">VLOOKUP($A14,RawData!$A$3:$AE$38,MATCH('KPI Dashboard'!I$13,RawData!$A$15:$AE$15,0),0)</f>
        <v>21</v>
      </c>
      <c r="J14" s="34"/>
      <c r="K14" s="8"/>
      <c r="L14" s="34"/>
      <c r="M14" s="34"/>
      <c r="N14" s="34"/>
      <c r="O14" s="9"/>
    </row>
    <row r="15" spans="1:32" x14ac:dyDescent="0.4">
      <c r="A15" s="44" t="s">
        <v>39</v>
      </c>
      <c r="B15" s="22">
        <f ca="1">B14*1.3</f>
        <v>27.3</v>
      </c>
      <c r="C15" s="22">
        <f t="shared" ref="C15:I15" ca="1" si="2">C14*1.3</f>
        <v>14.3</v>
      </c>
      <c r="D15" s="22">
        <f t="shared" ca="1" si="2"/>
        <v>5.2</v>
      </c>
      <c r="E15" s="22">
        <f t="shared" ca="1" si="2"/>
        <v>1.3</v>
      </c>
      <c r="F15" s="22">
        <f t="shared" ca="1" si="2"/>
        <v>28.6</v>
      </c>
      <c r="G15" s="22">
        <f t="shared" ca="1" si="2"/>
        <v>2.6</v>
      </c>
      <c r="H15" s="22">
        <f t="shared" ca="1" si="2"/>
        <v>20.8</v>
      </c>
      <c r="I15" s="22">
        <f t="shared" ca="1" si="2"/>
        <v>27.3</v>
      </c>
      <c r="J15" s="34"/>
      <c r="K15" s="8"/>
      <c r="L15" s="34" t="s">
        <v>37</v>
      </c>
      <c r="M15" s="34"/>
      <c r="N15" s="34"/>
      <c r="O15" s="9"/>
    </row>
    <row r="16" spans="1:32" ht="18.45" x14ac:dyDescent="0.5">
      <c r="A16" s="42" t="s">
        <v>40</v>
      </c>
      <c r="B16" s="42"/>
      <c r="C16" s="42"/>
      <c r="D16" s="42"/>
      <c r="E16" s="42"/>
      <c r="F16" s="42"/>
      <c r="G16" s="42"/>
      <c r="H16" s="42"/>
      <c r="I16" s="42"/>
      <c r="J16" s="8"/>
      <c r="K16" s="8"/>
      <c r="L16" s="34"/>
      <c r="M16" s="34"/>
      <c r="N16" s="34"/>
      <c r="O16" s="9"/>
    </row>
    <row r="17" spans="1:15" ht="16.75" x14ac:dyDescent="0.4">
      <c r="A17" s="24" t="s">
        <v>38</v>
      </c>
      <c r="B17" s="22">
        <f ca="1">B13</f>
        <v>2021</v>
      </c>
      <c r="C17" s="22">
        <f t="shared" ref="C17:I17" ca="1" si="3">C13</f>
        <v>2022</v>
      </c>
      <c r="D17" s="22">
        <f t="shared" ca="1" si="3"/>
        <v>2023</v>
      </c>
      <c r="E17" s="22">
        <f t="shared" ca="1" si="3"/>
        <v>2024</v>
      </c>
      <c r="F17" s="22">
        <f t="shared" ca="1" si="3"/>
        <v>2025</v>
      </c>
      <c r="G17" s="22">
        <f t="shared" ca="1" si="3"/>
        <v>2026</v>
      </c>
      <c r="H17" s="22">
        <f t="shared" ca="1" si="3"/>
        <v>2027</v>
      </c>
      <c r="I17" s="39">
        <f t="shared" ca="1" si="3"/>
        <v>2028</v>
      </c>
      <c r="J17" s="8"/>
      <c r="K17" s="8"/>
      <c r="L17" s="34"/>
      <c r="M17" s="34"/>
      <c r="N17" s="34"/>
      <c r="O17" s="9"/>
    </row>
    <row r="18" spans="1:15" ht="16.75" x14ac:dyDescent="0.45">
      <c r="A18" s="23" t="s">
        <v>0</v>
      </c>
      <c r="B18" s="21" cm="1">
        <f t="array" aca="1" ref="B18" ca="1">SUMPRODUCT((Year=$B$17)*(Finance_Data))</f>
        <v>405</v>
      </c>
      <c r="C18" s="21" cm="1">
        <f t="array" aca="1" ref="C18" ca="1">SUMPRODUCT((Year=C17)*(Finance_Data))</f>
        <v>551</v>
      </c>
      <c r="D18" s="21" cm="1">
        <f t="array" aca="1" ref="D18" ca="1">SUMPRODUCT((Year=D17)*(Finance_Data))</f>
        <v>692</v>
      </c>
      <c r="E18" s="21" cm="1">
        <f t="array" aca="1" ref="E18" ca="1">SUMPRODUCT((Year=E17)*(Finance_Data))</f>
        <v>511</v>
      </c>
      <c r="F18" s="21" cm="1">
        <f t="array" aca="1" ref="F18" ca="1">SUMPRODUCT((Year=F17)*(Finance_Data))</f>
        <v>503</v>
      </c>
      <c r="G18" s="21" cm="1">
        <f t="array" aca="1" ref="G18" ca="1">SUMPRODUCT((Year=G17)*(Finance_Data))</f>
        <v>447</v>
      </c>
      <c r="H18" s="21" cm="1">
        <f t="array" aca="1" ref="H18" ca="1">SUMPRODUCT((Year=H17)*(Finance_Data))</f>
        <v>385</v>
      </c>
      <c r="I18" s="40" cm="1">
        <f t="array" aca="1" ref="I18" ca="1">SUMPRODUCT((Year=I17)*(Finance_Data))</f>
        <v>499</v>
      </c>
      <c r="J18" s="8"/>
      <c r="K18" s="8"/>
      <c r="L18" s="34"/>
      <c r="M18" s="34"/>
      <c r="N18" s="34"/>
      <c r="O18" s="9"/>
    </row>
    <row r="19" spans="1:15" ht="16.75" x14ac:dyDescent="0.45">
      <c r="A19" s="23" t="s">
        <v>12</v>
      </c>
      <c r="B19" s="21" cm="1">
        <f t="array" aca="1" ref="B19" ca="1">SUMPRODUCT((Year=B$17)*(Operation_Data))</f>
        <v>198</v>
      </c>
      <c r="C19" s="21" cm="1">
        <f t="array" aca="1" ref="C19" ca="1">SUMPRODUCT((Year=C$17)*(Operation_Data))</f>
        <v>155</v>
      </c>
      <c r="D19" s="21" cm="1">
        <f t="array" aca="1" ref="D19" ca="1">SUMPRODUCT((Year=D$17)*(Operation_Data))</f>
        <v>207</v>
      </c>
      <c r="E19" s="21" cm="1">
        <f t="array" aca="1" ref="E19" ca="1">SUMPRODUCT((Year=E$17)*(Operation_Data))</f>
        <v>151</v>
      </c>
      <c r="F19" s="21" cm="1">
        <f t="array" aca="1" ref="F19" ca="1">SUMPRODUCT((Year=F$17)*(Operation_Data))</f>
        <v>223</v>
      </c>
      <c r="G19" s="21" cm="1">
        <f t="array" aca="1" ref="G19" ca="1">SUMPRODUCT((Year=G$17)*(Operation_Data))</f>
        <v>163</v>
      </c>
      <c r="H19" s="21" cm="1">
        <f t="array" aca="1" ref="H19" ca="1">SUMPRODUCT((Year=H$17)*(Operation_Data))</f>
        <v>156</v>
      </c>
      <c r="I19" s="40" cm="1">
        <f t="array" aca="1" ref="I19" ca="1">SUMPRODUCT((Year=I$17)*(Operation_Data))</f>
        <v>145</v>
      </c>
      <c r="J19" s="8"/>
      <c r="K19" s="8"/>
      <c r="L19" s="34"/>
      <c r="M19" s="34"/>
      <c r="N19" s="34"/>
      <c r="O19" s="9"/>
    </row>
    <row r="20" spans="1:15" ht="16.75" x14ac:dyDescent="0.45">
      <c r="A20" s="23" t="s">
        <v>23</v>
      </c>
      <c r="B20" s="21" cm="1">
        <f t="array" aca="1" ref="B20" ca="1">SUMPRODUCT((Year=B$17)*(HR_Data))</f>
        <v>245</v>
      </c>
      <c r="C20" s="21" cm="1">
        <f t="array" aca="1" ref="C20" ca="1">SUMPRODUCT((Year=C$17)*(HR_Data))</f>
        <v>248</v>
      </c>
      <c r="D20" s="21" cm="1">
        <f t="array" aca="1" ref="D20" ca="1">SUMPRODUCT((Year=D$17)*(HR_Data))</f>
        <v>221</v>
      </c>
      <c r="E20" s="21" cm="1">
        <f t="array" aca="1" ref="E20" ca="1">SUMPRODUCT((Year=E$17)*(HR_Data))</f>
        <v>278</v>
      </c>
      <c r="F20" s="21" cm="1">
        <f t="array" aca="1" ref="F20" ca="1">SUMPRODUCT((Year=F$17)*(HR_Data))</f>
        <v>240</v>
      </c>
      <c r="G20" s="21" cm="1">
        <f t="array" aca="1" ref="G20" ca="1">SUMPRODUCT((Year=G$17)*(HR_Data))</f>
        <v>215</v>
      </c>
      <c r="H20" s="21" cm="1">
        <f t="array" aca="1" ref="H20" ca="1">SUMPRODUCT((Year=H$17)*(HR_Data))</f>
        <v>188</v>
      </c>
      <c r="I20" s="40" cm="1">
        <f t="array" aca="1" ref="I20" ca="1">SUMPRODUCT((Year=I$17)*(HR_Data))</f>
        <v>311</v>
      </c>
      <c r="J20" s="8"/>
      <c r="K20" s="8"/>
      <c r="L20" s="34"/>
      <c r="M20" s="34"/>
      <c r="N20" s="34"/>
      <c r="O20" s="9"/>
    </row>
    <row r="21" spans="1:15" ht="21" customHeight="1" thickBot="1" x14ac:dyDescent="0.5">
      <c r="A21" s="30" t="s">
        <v>41</v>
      </c>
      <c r="B21" s="31"/>
      <c r="C21" s="31"/>
      <c r="D21" s="31"/>
      <c r="E21" s="31"/>
      <c r="F21" s="31"/>
      <c r="G21" s="31"/>
      <c r="H21" s="31"/>
      <c r="I21" s="31"/>
      <c r="J21" s="10"/>
      <c r="K21" s="8"/>
      <c r="L21" s="34"/>
      <c r="M21" s="34"/>
      <c r="N21" s="34"/>
      <c r="O21" s="9"/>
    </row>
    <row r="22" spans="1:15" ht="21" customHeight="1" thickTop="1" thickBot="1" x14ac:dyDescent="0.6">
      <c r="A22" s="5" t="s">
        <v>36</v>
      </c>
      <c r="B22" s="29" t="s">
        <v>0</v>
      </c>
      <c r="C22" s="29"/>
      <c r="D22" s="29" t="s">
        <v>12</v>
      </c>
      <c r="E22" s="29"/>
      <c r="F22" s="29" t="s">
        <v>23</v>
      </c>
      <c r="G22" s="29"/>
      <c r="H22" s="52" t="s">
        <v>47</v>
      </c>
      <c r="I22" s="53"/>
      <c r="K22" s="5"/>
      <c r="L22" s="6"/>
      <c r="M22" s="6"/>
      <c r="N22" s="6"/>
      <c r="O22" s="7"/>
    </row>
    <row r="23" spans="1:15" ht="15" customHeight="1" thickTop="1" x14ac:dyDescent="0.4">
      <c r="A23" s="21" cm="1">
        <f t="array" aca="1" ref="A23:A30" ca="1">TRANSPOSE(B17:I17)</f>
        <v>2021</v>
      </c>
      <c r="B23" s="21" cm="1">
        <f t="array" aca="1" ref="B23:B30" ca="1">TRANSPOSE(B18:I18)</f>
        <v>405</v>
      </c>
      <c r="C23" s="25">
        <f ca="1">B23</f>
        <v>405</v>
      </c>
      <c r="D23" s="13" cm="1">
        <f t="array" aca="1" ref="D23:D30" ca="1">TRANSPOSE(B19:I19)</f>
        <v>198</v>
      </c>
      <c r="E23" s="25">
        <f ca="1">D23</f>
        <v>198</v>
      </c>
      <c r="F23" s="13" cm="1">
        <f t="array" aca="1" ref="F23:F30" ca="1">TRANSPOSE(B20:I20)</f>
        <v>245</v>
      </c>
      <c r="G23" s="25">
        <f ca="1">F23</f>
        <v>245</v>
      </c>
      <c r="I23" s="9"/>
      <c r="K23" s="26"/>
      <c r="L23" s="38"/>
      <c r="M23" s="38"/>
      <c r="N23" s="38"/>
      <c r="O23" s="9"/>
    </row>
    <row r="24" spans="1:15" ht="14.6" customHeight="1" x14ac:dyDescent="0.4">
      <c r="A24" s="21">
        <f ca="1"/>
        <v>2022</v>
      </c>
      <c r="B24" s="21">
        <f ca="1"/>
        <v>551</v>
      </c>
      <c r="C24" s="25">
        <f t="shared" ref="C24:C30" ca="1" si="4">B24</f>
        <v>551</v>
      </c>
      <c r="D24" s="13">
        <f ca="1"/>
        <v>155</v>
      </c>
      <c r="E24" s="25">
        <f t="shared" ref="E24:E30" ca="1" si="5">D24</f>
        <v>155</v>
      </c>
      <c r="F24" s="13">
        <f ca="1"/>
        <v>248</v>
      </c>
      <c r="G24" s="25">
        <f t="shared" ref="G24:G30" ca="1" si="6">F24</f>
        <v>248</v>
      </c>
      <c r="I24" s="9"/>
      <c r="K24" s="26"/>
      <c r="L24" s="38"/>
      <c r="M24" s="38"/>
      <c r="N24" s="38"/>
      <c r="O24" s="9"/>
    </row>
    <row r="25" spans="1:15" ht="14.6" customHeight="1" x14ac:dyDescent="0.4">
      <c r="A25" s="21">
        <f ca="1"/>
        <v>2023</v>
      </c>
      <c r="B25" s="21">
        <f ca="1"/>
        <v>692</v>
      </c>
      <c r="C25" s="25">
        <f t="shared" ca="1" si="4"/>
        <v>692</v>
      </c>
      <c r="D25" s="13">
        <f ca="1"/>
        <v>207</v>
      </c>
      <c r="E25" s="25">
        <f t="shared" ca="1" si="5"/>
        <v>207</v>
      </c>
      <c r="F25" s="13">
        <f ca="1"/>
        <v>221</v>
      </c>
      <c r="G25" s="25">
        <f t="shared" ca="1" si="6"/>
        <v>221</v>
      </c>
      <c r="I25" s="9"/>
      <c r="K25" s="26"/>
      <c r="L25" s="38"/>
      <c r="M25" s="38"/>
      <c r="N25" s="38"/>
      <c r="O25" s="9"/>
    </row>
    <row r="26" spans="1:15" ht="14.6" customHeight="1" x14ac:dyDescent="0.4">
      <c r="A26" s="21">
        <f ca="1"/>
        <v>2024</v>
      </c>
      <c r="B26" s="21">
        <f ca="1"/>
        <v>511</v>
      </c>
      <c r="C26" s="25">
        <f t="shared" ca="1" si="4"/>
        <v>511</v>
      </c>
      <c r="D26" s="13">
        <f ca="1"/>
        <v>151</v>
      </c>
      <c r="E26" s="25">
        <f t="shared" ca="1" si="5"/>
        <v>151</v>
      </c>
      <c r="F26" s="13">
        <f ca="1"/>
        <v>278</v>
      </c>
      <c r="G26" s="25">
        <f t="shared" ca="1" si="6"/>
        <v>278</v>
      </c>
      <c r="I26" s="9"/>
      <c r="K26" s="26"/>
      <c r="L26" s="38"/>
      <c r="M26" s="38"/>
      <c r="N26" s="38"/>
      <c r="O26" s="9"/>
    </row>
    <row r="27" spans="1:15" ht="14.6" customHeight="1" x14ac:dyDescent="0.4">
      <c r="A27" s="21">
        <f ca="1"/>
        <v>2025</v>
      </c>
      <c r="B27" s="21">
        <f ca="1"/>
        <v>503</v>
      </c>
      <c r="C27" s="25">
        <f t="shared" ca="1" si="4"/>
        <v>503</v>
      </c>
      <c r="D27" s="13">
        <f ca="1"/>
        <v>223</v>
      </c>
      <c r="E27" s="25">
        <f t="shared" ca="1" si="5"/>
        <v>223</v>
      </c>
      <c r="F27" s="13">
        <f ca="1"/>
        <v>240</v>
      </c>
      <c r="G27" s="25">
        <f t="shared" ca="1" si="6"/>
        <v>240</v>
      </c>
      <c r="I27" s="9"/>
      <c r="K27" s="26"/>
      <c r="L27" s="38"/>
      <c r="M27" s="38"/>
      <c r="N27" s="38"/>
      <c r="O27" s="9"/>
    </row>
    <row r="28" spans="1:15" ht="14.6" customHeight="1" x14ac:dyDescent="0.4">
      <c r="A28" s="21">
        <f ca="1"/>
        <v>2026</v>
      </c>
      <c r="B28" s="21">
        <f ca="1"/>
        <v>447</v>
      </c>
      <c r="C28" s="25">
        <f t="shared" ca="1" si="4"/>
        <v>447</v>
      </c>
      <c r="D28" s="13">
        <f ca="1"/>
        <v>163</v>
      </c>
      <c r="E28" s="25">
        <f t="shared" ca="1" si="5"/>
        <v>163</v>
      </c>
      <c r="F28" s="13">
        <f ca="1"/>
        <v>215</v>
      </c>
      <c r="G28" s="25">
        <f t="shared" ca="1" si="6"/>
        <v>215</v>
      </c>
      <c r="I28" s="9"/>
      <c r="K28" s="26"/>
      <c r="L28" s="38"/>
      <c r="M28" s="38"/>
      <c r="N28" s="38"/>
      <c r="O28" s="9"/>
    </row>
    <row r="29" spans="1:15" ht="14.6" customHeight="1" x14ac:dyDescent="0.4">
      <c r="A29" s="21">
        <f ca="1"/>
        <v>2027</v>
      </c>
      <c r="B29" s="21">
        <f ca="1"/>
        <v>385</v>
      </c>
      <c r="C29" s="25">
        <f t="shared" ca="1" si="4"/>
        <v>385</v>
      </c>
      <c r="D29" s="13">
        <f ca="1"/>
        <v>156</v>
      </c>
      <c r="E29" s="25">
        <f t="shared" ca="1" si="5"/>
        <v>156</v>
      </c>
      <c r="F29" s="13">
        <f ca="1"/>
        <v>188</v>
      </c>
      <c r="G29" s="25">
        <f t="shared" ca="1" si="6"/>
        <v>188</v>
      </c>
      <c r="I29" s="9"/>
      <c r="K29" s="26"/>
      <c r="L29" s="38"/>
      <c r="M29" s="38"/>
      <c r="N29" s="38"/>
      <c r="O29" s="9"/>
    </row>
    <row r="30" spans="1:15" ht="15" customHeight="1" thickBot="1" x14ac:dyDescent="0.45">
      <c r="A30" s="21">
        <f ca="1"/>
        <v>2028</v>
      </c>
      <c r="B30" s="21">
        <f ca="1"/>
        <v>499</v>
      </c>
      <c r="C30" s="25">
        <f t="shared" ca="1" si="4"/>
        <v>499</v>
      </c>
      <c r="D30" s="13">
        <f ca="1"/>
        <v>145</v>
      </c>
      <c r="E30" s="25">
        <f t="shared" ca="1" si="5"/>
        <v>145</v>
      </c>
      <c r="F30" s="13">
        <f ca="1"/>
        <v>311</v>
      </c>
      <c r="G30" s="25">
        <f t="shared" ca="1" si="6"/>
        <v>311</v>
      </c>
      <c r="H30" s="11"/>
      <c r="I30" s="12"/>
      <c r="K30" s="26"/>
      <c r="L30" s="38"/>
      <c r="M30" s="38"/>
      <c r="N30" s="38"/>
      <c r="O30" s="9"/>
    </row>
    <row r="31" spans="1:15" ht="15" customHeight="1" thickBot="1" x14ac:dyDescent="0.45">
      <c r="K31" s="27"/>
      <c r="L31" s="28"/>
      <c r="M31" s="28"/>
      <c r="N31" s="28"/>
      <c r="O31" s="12"/>
    </row>
  </sheetData>
  <mergeCells count="12">
    <mergeCell ref="K23:N31"/>
    <mergeCell ref="A16:I16"/>
    <mergeCell ref="B22:C22"/>
    <mergeCell ref="D22:E22"/>
    <mergeCell ref="A21:I21"/>
    <mergeCell ref="F22:G22"/>
    <mergeCell ref="K7:K8"/>
    <mergeCell ref="L7:L8"/>
    <mergeCell ref="M7:M8"/>
    <mergeCell ref="N7:N8"/>
    <mergeCell ref="O7:O8"/>
    <mergeCell ref="H22:I22"/>
  </mergeCells>
  <conditionalFormatting sqref="C23:C3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{218E7E74-FCEF-4FAA-84B7-AD081D4FF867}</x14:id>
        </ext>
      </extLst>
    </cfRule>
  </conditionalFormatting>
  <conditionalFormatting sqref="E23:E30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{0C2BE0AA-11AA-4BFA-ABCD-6A1F0C459C42}</x14:id>
        </ext>
      </extLst>
    </cfRule>
  </conditionalFormatting>
  <conditionalFormatting sqref="G23:G30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{9A2613C6-B712-481C-B5D7-C1DD003AA871}</x14:id>
        </ext>
      </extLst>
    </cfRule>
  </conditionalFormatting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6" r:id="rId3" name="TextBox1">
          <controlPr defaultSize="0" autoLine="0" autoPict="0" r:id="rId4">
            <anchor moveWithCells="1">
              <from>
                <xdr:col>10</xdr:col>
                <xdr:colOff>0</xdr:colOff>
                <xdr:row>8</xdr:row>
                <xdr:rowOff>130629</xdr:rowOff>
              </from>
              <to>
                <xdr:col>11</xdr:col>
                <xdr:colOff>478971</xdr:colOff>
                <xdr:row>9</xdr:row>
                <xdr:rowOff>163286</xdr:rowOff>
              </to>
            </anchor>
          </controlPr>
        </control>
      </mc:Choice>
      <mc:Fallback>
        <control shapeId="1026" r:id="rId3" name="TextBox1"/>
      </mc:Fallback>
    </mc:AlternateContent>
    <mc:AlternateContent xmlns:mc="http://schemas.openxmlformats.org/markup-compatibility/2006">
      <mc:Choice Requires="x14">
        <control shapeId="1027" r:id="rId5" name="Drop Down 3">
          <controlPr defaultSize="0" autoLine="0" autoPict="0">
            <anchor moveWithCells="1">
              <from>
                <xdr:col>12</xdr:col>
                <xdr:colOff>136071</xdr:colOff>
                <xdr:row>3</xdr:row>
                <xdr:rowOff>27214</xdr:rowOff>
              </from>
              <to>
                <xdr:col>15</xdr:col>
                <xdr:colOff>0</xdr:colOff>
                <xdr:row>4</xdr:row>
                <xdr:rowOff>146957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4" r:id="rId6" name="Option Button 10">
          <controlPr defaultSize="0" autoFill="0" autoLine="0" autoPict="0">
            <anchor moveWithCells="1">
              <from>
                <xdr:col>10</xdr:col>
                <xdr:colOff>87086</xdr:colOff>
                <xdr:row>0</xdr:row>
                <xdr:rowOff>136071</xdr:rowOff>
              </from>
              <to>
                <xdr:col>11</xdr:col>
                <xdr:colOff>293914</xdr:colOff>
                <xdr:row>2</xdr:row>
                <xdr:rowOff>10886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5" r:id="rId7" name="Option Button 11">
          <controlPr defaultSize="0" autoFill="0" autoLine="0" autoPict="0">
            <anchor moveWithCells="1">
              <from>
                <xdr:col>11</xdr:col>
                <xdr:colOff>386443</xdr:colOff>
                <xdr:row>0</xdr:row>
                <xdr:rowOff>136071</xdr:rowOff>
              </from>
              <to>
                <xdr:col>12</xdr:col>
                <xdr:colOff>593271</xdr:colOff>
                <xdr:row>2</xdr:row>
                <xdr:rowOff>10886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6" r:id="rId8" name="Option Button 12">
          <controlPr defaultSize="0" autoFill="0" autoLine="0" autoPict="0">
            <anchor moveWithCells="1">
              <from>
                <xdr:col>12</xdr:col>
                <xdr:colOff>702129</xdr:colOff>
                <xdr:row>0</xdr:row>
                <xdr:rowOff>130629</xdr:rowOff>
              </from>
              <to>
                <xdr:col>13</xdr:col>
                <xdr:colOff>908957</xdr:colOff>
                <xdr:row>2</xdr:row>
                <xdr:rowOff>5443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9" r:id="rId9" name="Scroll Bar 15">
          <controlPr defaultSize="0" autoPict="0">
            <anchor moveWithCells="1">
              <from>
                <xdr:col>0</xdr:col>
                <xdr:colOff>0</xdr:colOff>
                <xdr:row>10</xdr:row>
                <xdr:rowOff>16329</xdr:rowOff>
              </from>
              <to>
                <xdr:col>8</xdr:col>
                <xdr:colOff>898071</xdr:colOff>
                <xdr:row>11</xdr:row>
                <xdr:rowOff>157843</xdr:rowOff>
              </to>
            </anchor>
          </controlPr>
        </control>
      </mc:Choice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8E7E74-FCEF-4FAA-84B7-AD081D4FF8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C23:C30</xm:sqref>
        </x14:conditionalFormatting>
        <x14:conditionalFormatting xmlns:xm="http://schemas.microsoft.com/office/excel/2006/main">
          <x14:cfRule type="dataBar" id="{0C2BE0AA-11AA-4BFA-ABCD-6A1F0C459C4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E23:E30</xm:sqref>
        </x14:conditionalFormatting>
        <x14:conditionalFormatting xmlns:xm="http://schemas.microsoft.com/office/excel/2006/main">
          <x14:cfRule type="dataBar" id="{9A2613C6-B712-481C-B5D7-C1DD003AA8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G23:G30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RawData</vt:lpstr>
      <vt:lpstr>KPI Dashboard</vt:lpstr>
      <vt:lpstr>Finance</vt:lpstr>
      <vt:lpstr>Finance_Data</vt:lpstr>
      <vt:lpstr>HR</vt:lpstr>
      <vt:lpstr>HR_Data</vt:lpstr>
      <vt:lpstr>Operation_Data</vt:lpstr>
      <vt:lpstr>Operations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2025-07-06T05:28:36Z</dcterms:created>
  <dcterms:modified xsi:type="dcterms:W3CDTF">2026-05-19T15:23:51Z</dcterms:modified>
</cp:coreProperties>
</file>